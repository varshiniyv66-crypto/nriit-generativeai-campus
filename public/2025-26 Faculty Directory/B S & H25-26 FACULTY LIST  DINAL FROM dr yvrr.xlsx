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C:\Users\CSE_DEAN\Downloads\New folder (4)\"/>
    </mc:Choice>
  </mc:AlternateContent>
  <xr:revisionPtr revIDLastSave="0" documentId="8_{80D2B44F-7F51-4085-8B35-8458ADC20A7E}" xr6:coauthVersionLast="47" xr6:coauthVersionMax="47" xr10:uidLastSave="{00000000-0000-0000-0000-000000000000}"/>
  <bookViews>
    <workbookView xWindow="-120" yWindow="-120" windowWidth="29040" windowHeight="15840" firstSheet="11" activeTab="11" xr2:uid="{00000000-000D-0000-FFFF-FFFF00000000}"/>
  </bookViews>
  <sheets>
    <sheet name="TOTAL" sheetId="1" state="hidden" r:id="rId1"/>
    <sheet name="LIBRARIAN" sheetId="11" state="hidden" r:id="rId2"/>
    <sheet name="PD" sheetId="10" state="hidden" r:id="rId3"/>
    <sheet name="MECH" sheetId="9" state="hidden" r:id="rId4"/>
    <sheet name="EEE" sheetId="8" state="hidden" r:id="rId5"/>
    <sheet name="CIVIL" sheetId="7" state="hidden" r:id="rId6"/>
    <sheet name="COMPUTERS" sheetId="6" state="hidden" r:id="rId7"/>
    <sheet name="ENGLISH" sheetId="5" state="hidden" r:id="rId8"/>
    <sheet name="CHEMISTRY" sheetId="4" state="hidden" r:id="rId9"/>
    <sheet name="PHYSICS" sheetId="3" state="hidden" r:id="rId10"/>
    <sheet name="MATHS" sheetId="2" state="hidden" r:id="rId11"/>
    <sheet name="S&amp;H 25-26 DR YVRR" sheetId="20" r:id="rId12"/>
    <sheet name="DS 25-26_x0009__x0009__x0009__x0009__x0009__x0009_" sheetId="23" r:id="rId13"/>
    <sheet name="consolidated list" sheetId="22" state="hidden" r:id="rId14"/>
  </sheets>
  <externalReferences>
    <externalReference r:id="rId15"/>
  </externalReferences>
  <definedNames>
    <definedName name="_xlnm._FilterDatabase" localSheetId="11" hidden="1">'S&amp;H 25-26 DR YVRR'!$F$1:$F$76</definedName>
    <definedName name="_xlnm._FilterDatabase" localSheetId="0" hidden="1">TOTAL!$B$1:$B$84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19" i="22" l="1"/>
  <c r="J84" i="1"/>
  <c r="I84" i="1"/>
  <c r="H84" i="1"/>
  <c r="G84" i="1"/>
</calcChain>
</file>

<file path=xl/sharedStrings.xml><?xml version="1.0" encoding="utf-8"?>
<sst xmlns="http://schemas.openxmlformats.org/spreadsheetml/2006/main" count="1184" uniqueCount="235">
  <si>
    <t>AUOPK1437F</t>
  </si>
  <si>
    <t>M.SC.(Mathematics) and PhD</t>
  </si>
  <si>
    <t>MATHEMATICS</t>
  </si>
  <si>
    <t>Associate Professor</t>
  </si>
  <si>
    <t>Yes</t>
  </si>
  <si>
    <t>Regular</t>
  </si>
  <si>
    <t>Dr.G.Sreedevikumari</t>
  </si>
  <si>
    <t>ATOPK4061A</t>
  </si>
  <si>
    <t>APPLIED MATHEMATICS</t>
  </si>
  <si>
    <t>Dr.G.Krishnakumari</t>
  </si>
  <si>
    <t>ARJPG3461H</t>
  </si>
  <si>
    <t>M.Sc. (Physics) and Ph.D.</t>
  </si>
  <si>
    <t>PHYSICS</t>
  </si>
  <si>
    <t>CH.DHANALAKSHMI</t>
  </si>
  <si>
    <t>BSAPC8068F</t>
  </si>
  <si>
    <t>M.Sc</t>
  </si>
  <si>
    <t>Assistant Professor</t>
  </si>
  <si>
    <t>T.P.KANAKADURGA</t>
  </si>
  <si>
    <t>No</t>
  </si>
  <si>
    <t>Y.SUPRAJA</t>
  </si>
  <si>
    <t>AHXPY3098A</t>
  </si>
  <si>
    <t>STATISTICS</t>
  </si>
  <si>
    <t>D.VINODA</t>
  </si>
  <si>
    <t>APGPD7086N</t>
  </si>
  <si>
    <t>M.Phil</t>
  </si>
  <si>
    <t>G.SURESH</t>
  </si>
  <si>
    <t>AMAPG0946M</t>
  </si>
  <si>
    <t>B.NAGAMANI</t>
  </si>
  <si>
    <t>CHVPB8471N</t>
  </si>
  <si>
    <t>Dr.SK.MUNTAJ BEGUM</t>
  </si>
  <si>
    <t>EFPPS9216L</t>
  </si>
  <si>
    <t>K.VENKAYYAMMA</t>
  </si>
  <si>
    <t>M.APPARAO</t>
  </si>
  <si>
    <t>AXTPM5753C</t>
  </si>
  <si>
    <t>M.KALYANI</t>
  </si>
  <si>
    <t>GHZPM4947L</t>
  </si>
  <si>
    <t>D.VANI</t>
  </si>
  <si>
    <t>BNOPD4835L</t>
  </si>
  <si>
    <t>V.SANDYARANI</t>
  </si>
  <si>
    <t>CEUPV6510E</t>
  </si>
  <si>
    <t>J.SUNILGOWTHAM</t>
  </si>
  <si>
    <t>M.SRINIVASARAO</t>
  </si>
  <si>
    <t>APUPM9900J</t>
  </si>
  <si>
    <t>G.SRINIVASARAO</t>
  </si>
  <si>
    <t>DXTPS1696R</t>
  </si>
  <si>
    <t>G.NAGALAKSHMI</t>
  </si>
  <si>
    <t>EAMPG0472E</t>
  </si>
  <si>
    <t>P.BIKSHALU</t>
  </si>
  <si>
    <t>DWNPP8224F</t>
  </si>
  <si>
    <t>CHEMISTRY</t>
  </si>
  <si>
    <t>V.NAGARANI</t>
  </si>
  <si>
    <t>P.ANITHA</t>
  </si>
  <si>
    <t>P.SRILAKSHMI</t>
  </si>
  <si>
    <t>M.RADHADEVI</t>
  </si>
  <si>
    <t>ITFPK0012J</t>
  </si>
  <si>
    <t>SK.PHARJANA</t>
  </si>
  <si>
    <t>IDZPS7287B</t>
  </si>
  <si>
    <t>G.MAHESHBABU</t>
  </si>
  <si>
    <t>Y.RAJYALAKSHMI</t>
  </si>
  <si>
    <t>CAAPR6697C</t>
  </si>
  <si>
    <t>J.BRAMARAMBICADEVI</t>
  </si>
  <si>
    <t>AOZPJ1480L</t>
  </si>
  <si>
    <t>K.SURYAPRABHA</t>
  </si>
  <si>
    <t>CH.ANUSHA</t>
  </si>
  <si>
    <t>AKKPC8107C</t>
  </si>
  <si>
    <t>Dr.P.RAVICHANDRA</t>
  </si>
  <si>
    <t>M.A and Ph.D</t>
  </si>
  <si>
    <t>ENGLISH</t>
  </si>
  <si>
    <t>I.SURESHBABU</t>
  </si>
  <si>
    <t>ADJPI0582P</t>
  </si>
  <si>
    <t>G.RAMAKOTESWARARAO</t>
  </si>
  <si>
    <t>MA</t>
  </si>
  <si>
    <t>V.GOVARDHANARAO</t>
  </si>
  <si>
    <t>APVPG7097P</t>
  </si>
  <si>
    <t>D.SUJATHA</t>
  </si>
  <si>
    <t>V.NAVEEN CHOWDARY</t>
  </si>
  <si>
    <t>AOGPV5742J</t>
  </si>
  <si>
    <t>K.SRI NAGAVALLI</t>
  </si>
  <si>
    <t>CSVPV0592C</t>
  </si>
  <si>
    <t>Y.SRINIVASARAO</t>
  </si>
  <si>
    <t>AEOPY7091M</t>
  </si>
  <si>
    <t>I.VIDYAREKHA</t>
  </si>
  <si>
    <t>ABWPI8311B</t>
  </si>
  <si>
    <t>M.JOYCE</t>
  </si>
  <si>
    <t>AOAPP5359P</t>
  </si>
  <si>
    <t>D.RAMESH</t>
  </si>
  <si>
    <t>S.KAVITHA</t>
  </si>
  <si>
    <t>FEYPS5774E</t>
  </si>
  <si>
    <t>T.SIREESHA</t>
  </si>
  <si>
    <t>AMTPT1158M</t>
  </si>
  <si>
    <t>M.Tech</t>
  </si>
  <si>
    <t>ELECTRICAL AND ELECTRONICS ENGINEERING</t>
  </si>
  <si>
    <t>J NANCYNAMRTHA</t>
  </si>
  <si>
    <t>T.NAGABHARGAVI</t>
  </si>
  <si>
    <t>G.KRISHNAREDDY</t>
  </si>
  <si>
    <t>TONY RHODESKOTCHEARA</t>
  </si>
  <si>
    <t>MECHANICAL</t>
  </si>
  <si>
    <t>Dr.U.GAYATHRI</t>
  </si>
  <si>
    <t>M.Tech and Ph.D.</t>
  </si>
  <si>
    <t>SUGUNPAUL KARYAMSETTY</t>
  </si>
  <si>
    <t>B V R SAIKRISHNA</t>
  </si>
  <si>
    <t>HBCPS9699F</t>
  </si>
  <si>
    <t>V SATISHBABU</t>
  </si>
  <si>
    <t>AYHPB6786F</t>
  </si>
  <si>
    <t>COMPUTER SCIENCE</t>
  </si>
  <si>
    <t>D.NAGABHUSHANAM</t>
  </si>
  <si>
    <t>AFRPN9721R</t>
  </si>
  <si>
    <t>JAYMUNNISA</t>
  </si>
  <si>
    <t>GBKPS8605A</t>
  </si>
  <si>
    <t>A.MEDASRIMRUNALINI</t>
  </si>
  <si>
    <t>CHBPA7366R</t>
  </si>
  <si>
    <t>CIVIL</t>
  </si>
  <si>
    <t>A V RAMANA</t>
  </si>
  <si>
    <t>BFTPS9200P</t>
  </si>
  <si>
    <t>A.SAKEETH</t>
  </si>
  <si>
    <t>BHOPA8812Q</t>
  </si>
  <si>
    <t>Civil</t>
  </si>
  <si>
    <t>M.SUBRAMANYAM</t>
  </si>
  <si>
    <t>DDRPM3350J</t>
  </si>
  <si>
    <t>MCA</t>
  </si>
  <si>
    <t>A.ADIYYA</t>
  </si>
  <si>
    <t>AOVPA6437N</t>
  </si>
  <si>
    <t>COMPUTERSCIENCE</t>
  </si>
  <si>
    <t>P.RATNA KUMAR</t>
  </si>
  <si>
    <t>G.BABU RAO</t>
  </si>
  <si>
    <t>G.HANUMANTHA RAO</t>
  </si>
  <si>
    <t>K.VENKATESWARA RAO</t>
  </si>
  <si>
    <t>T.SUJATHA</t>
  </si>
  <si>
    <t>M.CHAITANYA</t>
  </si>
  <si>
    <t>CH.VISVANATH SAI</t>
  </si>
  <si>
    <t>M.P.Ed</t>
  </si>
  <si>
    <t>PD</t>
  </si>
  <si>
    <t>K.ANURADHA</t>
  </si>
  <si>
    <t>DR.P.RAJASEKHAR</t>
  </si>
  <si>
    <t>FJFPR4842Q</t>
  </si>
  <si>
    <t>S.P.RANGANATH</t>
  </si>
  <si>
    <t>T.RATNAKUMAR</t>
  </si>
  <si>
    <t>ASJPT8999E</t>
  </si>
  <si>
    <t>G.ANJANEYULU</t>
  </si>
  <si>
    <t>AWQPG6103N</t>
  </si>
  <si>
    <t>A.TEJASWI</t>
  </si>
  <si>
    <t>BZIPT5979H</t>
  </si>
  <si>
    <t>T.CHAKRAVARTHI</t>
  </si>
  <si>
    <t>ATAPC2949D</t>
  </si>
  <si>
    <t>K.SRINIVASARAO</t>
  </si>
  <si>
    <t>EAMPK1222C</t>
  </si>
  <si>
    <t>N.SARATH CHAND</t>
  </si>
  <si>
    <t>AMGPN3421Q</t>
  </si>
  <si>
    <t>K.SRILAKSHMI</t>
  </si>
  <si>
    <t>CEQPK5883R</t>
  </si>
  <si>
    <t>SK.MADEENA BEGUM</t>
  </si>
  <si>
    <t>CFJPS1283M</t>
  </si>
  <si>
    <t>T.HARISH</t>
  </si>
  <si>
    <t>AYOPT2660H</t>
  </si>
  <si>
    <t>K.KARUNA KUMARI</t>
  </si>
  <si>
    <t>GDGPK4349F</t>
  </si>
  <si>
    <t>K.SAMBAIAH</t>
  </si>
  <si>
    <t>EAFPK2291N</t>
  </si>
  <si>
    <t>Dr.K.Srinivasarao</t>
  </si>
  <si>
    <t>S.NO</t>
  </si>
  <si>
    <t>NAME</t>
  </si>
  <si>
    <t>PAN</t>
  </si>
  <si>
    <t>QUALIFICATION</t>
  </si>
  <si>
    <t>HIGHEST DEGREE</t>
  </si>
  <si>
    <t>SUBJECT</t>
  </si>
  <si>
    <t>DESIGNATION</t>
  </si>
  <si>
    <t>DOJ</t>
  </si>
  <si>
    <t>CAY</t>
  </si>
  <si>
    <t>CAYM1</t>
  </si>
  <si>
    <t>CAYM2</t>
  </si>
  <si>
    <t>CURRENTLY ASSOCIATED</t>
  </si>
  <si>
    <t>DOR</t>
  </si>
  <si>
    <t>R/C</t>
  </si>
  <si>
    <t>AUJPG7945D</t>
  </si>
  <si>
    <t>PH.D</t>
  </si>
  <si>
    <t>YES</t>
  </si>
  <si>
    <t>DR.G.RAMASAILAJA</t>
  </si>
  <si>
    <t>Dr.M.PANDU</t>
  </si>
  <si>
    <t>Ph.D</t>
  </si>
  <si>
    <t>LIBRARIAN</t>
  </si>
  <si>
    <t>N0</t>
  </si>
  <si>
    <t xml:space="preserve">ACADEMIC YEAR :2025-2026 </t>
  </si>
  <si>
    <t>CAY               (25-26) LOAD</t>
  </si>
  <si>
    <t>B.RAJU</t>
  </si>
  <si>
    <t>M.SC</t>
  </si>
  <si>
    <t>GZUPR7245R</t>
  </si>
  <si>
    <t>MATHS</t>
  </si>
  <si>
    <t>D.DURGANARESH</t>
  </si>
  <si>
    <t>BZDPN6628Q</t>
  </si>
  <si>
    <t>CNIPK5146E</t>
  </si>
  <si>
    <t>M.PHIL</t>
  </si>
  <si>
    <t>V.SANDHYA</t>
  </si>
  <si>
    <t>CDOPV6407P</t>
  </si>
  <si>
    <t>Dr.C.RAVIKANTH</t>
  </si>
  <si>
    <t>ACOPC1844Q</t>
  </si>
  <si>
    <t>Professor</t>
  </si>
  <si>
    <t>K.SUMAPRIYA</t>
  </si>
  <si>
    <t>DCXPK1502F</t>
  </si>
  <si>
    <t>B.SRINIVASARAO</t>
  </si>
  <si>
    <t>ARBPB0908J</t>
  </si>
  <si>
    <t>R.SASIRANI</t>
  </si>
  <si>
    <t>HKBPR8728E</t>
  </si>
  <si>
    <t>V.SRINIVASARAO</t>
  </si>
  <si>
    <t>Dr.SK.RASOOL</t>
  </si>
  <si>
    <t>AOIPS0514D</t>
  </si>
  <si>
    <t>I.PADMAJA</t>
  </si>
  <si>
    <t>ACOPI4305C</t>
  </si>
  <si>
    <t>MLIC</t>
  </si>
  <si>
    <t>DR.G.KARUNADEEPTHI</t>
  </si>
  <si>
    <t>APOPG6975M</t>
  </si>
  <si>
    <t>M.SC(CHEMISTRY) PH.D</t>
  </si>
  <si>
    <t>AUUPV4836H</t>
  </si>
  <si>
    <t>VELPURI HARITHA</t>
  </si>
  <si>
    <t>BUEPV5850L</t>
  </si>
  <si>
    <t>M.TECH</t>
  </si>
  <si>
    <t>CH. SAI NARENDRA KUMAR</t>
  </si>
  <si>
    <t>CHDPC8248Q</t>
  </si>
  <si>
    <t>M.PED</t>
  </si>
  <si>
    <t>SIGNATURE OF HOD</t>
  </si>
  <si>
    <t>S.no</t>
  </si>
  <si>
    <t>Mathematics</t>
  </si>
  <si>
    <t>Physics</t>
  </si>
  <si>
    <t>Chemistry</t>
  </si>
  <si>
    <t>English</t>
  </si>
  <si>
    <t>Computer science</t>
  </si>
  <si>
    <t>EEE</t>
  </si>
  <si>
    <t>Mechanical</t>
  </si>
  <si>
    <t>Librarian</t>
  </si>
  <si>
    <t>Number of faculty</t>
  </si>
  <si>
    <t>Subject</t>
  </si>
  <si>
    <t>Total</t>
  </si>
  <si>
    <t>Designation</t>
  </si>
  <si>
    <t>S</t>
  </si>
  <si>
    <t>S&amp;H FACULTY LIST</t>
  </si>
  <si>
    <t>BS&amp;HFACULTY LIST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</si>
</sst>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8"/>
      <color theme="1"/>
      <name val="Verdana"/>
      <family val="2"/>
    </font>
    <font>
      <sz val="11"/>
      <color rgb="FF333333"/>
      <name val="Calibri"/>
      <family val="2"/>
      <scheme val="minor"/>
    </font>
    <font>
      <b/>
      <sz val="12"/>
      <color theme="1"/>
      <name val="Verdana"/>
      <family val="2"/>
    </font>
    <font>
      <sz val="12"/>
      <color theme="1"/>
      <name val="Calibri"/>
      <family val="2"/>
      <scheme val="minor"/>
    </font>
    <font>
      <sz val="11"/>
      <color theme="1"/>
      <name val="Times New Roman"/>
      <family val="1"/>
    </font>
    <font>
      <b/>
      <sz val="12"/>
      <color theme="1"/>
      <name val="Calibri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rgb="FFF1F1F1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7" tint="-0.249977111117893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DDA7FF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1">
    <xf numFmtId="0" fontId="0" fillId="0" borderId="0" xfId="0"/>
    <xf numFmtId="0" fontId="0" fillId="0" borderId="0" xfId="0" applyAlignment="1">
      <alignment wrapText="1"/>
    </xf>
    <xf numFmtId="0" fontId="0" fillId="0" borderId="1" xfId="0" applyBorder="1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0" fillId="2" borderId="1" xfId="0" applyFill="1" applyBorder="1" applyAlignment="1">
      <alignment horizontal="center" wrapText="1"/>
    </xf>
    <xf numFmtId="0" fontId="3" fillId="2" borderId="1" xfId="0" applyFont="1" applyFill="1" applyBorder="1" applyAlignment="1">
      <alignment horizontal="center" vertical="center" wrapText="1"/>
    </xf>
    <xf numFmtId="14" fontId="3" fillId="2" borderId="1" xfId="0" applyNumberFormat="1" applyFont="1" applyFill="1" applyBorder="1" applyAlignment="1">
      <alignment horizontal="center" vertical="center" wrapText="1"/>
    </xf>
    <xf numFmtId="0" fontId="0" fillId="3" borderId="1" xfId="0" applyFill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 wrapText="1"/>
    </xf>
    <xf numFmtId="14" fontId="3" fillId="3" borderId="1" xfId="0" applyNumberFormat="1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14" fontId="0" fillId="0" borderId="1" xfId="0" applyNumberFormat="1" applyBorder="1" applyAlignment="1">
      <alignment horizontal="center" vertical="center" wrapText="1"/>
    </xf>
    <xf numFmtId="0" fontId="3" fillId="4" borderId="1" xfId="0" applyFont="1" applyFill="1" applyBorder="1" applyAlignment="1">
      <alignment horizontal="center" vertical="center" wrapText="1"/>
    </xf>
    <xf numFmtId="14" fontId="3" fillId="4" borderId="1" xfId="0" applyNumberFormat="1" applyFont="1" applyFill="1" applyBorder="1" applyAlignment="1">
      <alignment horizontal="center" vertical="center" wrapText="1"/>
    </xf>
    <xf numFmtId="0" fontId="0" fillId="4" borderId="1" xfId="0" applyFill="1" applyBorder="1" applyAlignment="1">
      <alignment horizontal="center" vertical="center" wrapText="1"/>
    </xf>
    <xf numFmtId="0" fontId="3" fillId="5" borderId="1" xfId="0" applyFont="1" applyFill="1" applyBorder="1" applyAlignment="1">
      <alignment horizontal="center" vertical="center" wrapText="1"/>
    </xf>
    <xf numFmtId="14" fontId="3" fillId="5" borderId="1" xfId="0" applyNumberFormat="1" applyFont="1" applyFill="1" applyBorder="1" applyAlignment="1">
      <alignment horizontal="center" vertical="center" wrapText="1"/>
    </xf>
    <xf numFmtId="0" fontId="0" fillId="5" borderId="1" xfId="0" applyFill="1" applyBorder="1" applyAlignment="1">
      <alignment horizontal="center" vertical="center" wrapText="1"/>
    </xf>
    <xf numFmtId="0" fontId="0" fillId="6" borderId="1" xfId="0" applyFill="1" applyBorder="1" applyAlignment="1">
      <alignment horizontal="center" vertical="center"/>
    </xf>
    <xf numFmtId="0" fontId="3" fillId="6" borderId="1" xfId="0" applyFont="1" applyFill="1" applyBorder="1" applyAlignment="1">
      <alignment horizontal="center" vertical="center" wrapText="1"/>
    </xf>
    <xf numFmtId="14" fontId="3" fillId="6" borderId="1" xfId="0" applyNumberFormat="1" applyFont="1" applyFill="1" applyBorder="1" applyAlignment="1">
      <alignment horizontal="center" vertical="center" wrapText="1"/>
    </xf>
    <xf numFmtId="0" fontId="0" fillId="6" borderId="1" xfId="0" applyFill="1" applyBorder="1" applyAlignment="1">
      <alignment horizontal="center" vertical="center" wrapText="1"/>
    </xf>
    <xf numFmtId="0" fontId="0" fillId="7" borderId="1" xfId="0" applyFill="1" applyBorder="1" applyAlignment="1">
      <alignment horizontal="center" vertical="center"/>
    </xf>
    <xf numFmtId="0" fontId="3" fillId="7" borderId="1" xfId="0" applyFont="1" applyFill="1" applyBorder="1" applyAlignment="1">
      <alignment horizontal="center" vertical="center" wrapText="1"/>
    </xf>
    <xf numFmtId="14" fontId="3" fillId="7" borderId="1" xfId="0" applyNumberFormat="1" applyFont="1" applyFill="1" applyBorder="1" applyAlignment="1">
      <alignment horizontal="center" vertical="center" wrapText="1"/>
    </xf>
    <xf numFmtId="0" fontId="0" fillId="7" borderId="1" xfId="0" applyFill="1" applyBorder="1" applyAlignment="1">
      <alignment horizontal="center" vertical="center" wrapText="1"/>
    </xf>
    <xf numFmtId="0" fontId="0" fillId="8" borderId="1" xfId="0" applyFill="1" applyBorder="1" applyAlignment="1">
      <alignment horizontal="center" vertical="center"/>
    </xf>
    <xf numFmtId="0" fontId="3" fillId="8" borderId="1" xfId="0" applyFont="1" applyFill="1" applyBorder="1" applyAlignment="1">
      <alignment horizontal="center" vertical="center" wrapText="1"/>
    </xf>
    <xf numFmtId="14" fontId="3" fillId="8" borderId="1" xfId="0" applyNumberFormat="1" applyFont="1" applyFill="1" applyBorder="1" applyAlignment="1">
      <alignment horizontal="center" vertical="center" wrapText="1"/>
    </xf>
    <xf numFmtId="0" fontId="0" fillId="8" borderId="1" xfId="0" applyFill="1" applyBorder="1" applyAlignment="1">
      <alignment horizontal="center" vertical="center" wrapText="1"/>
    </xf>
    <xf numFmtId="0" fontId="0" fillId="9" borderId="1" xfId="0" applyFill="1" applyBorder="1" applyAlignment="1">
      <alignment horizontal="center" vertical="center"/>
    </xf>
    <xf numFmtId="0" fontId="3" fillId="9" borderId="1" xfId="0" applyFont="1" applyFill="1" applyBorder="1" applyAlignment="1">
      <alignment horizontal="center" vertical="center" wrapText="1"/>
    </xf>
    <xf numFmtId="14" fontId="3" fillId="9" borderId="1" xfId="0" applyNumberFormat="1" applyFont="1" applyFill="1" applyBorder="1" applyAlignment="1">
      <alignment horizontal="center" vertical="center" wrapText="1"/>
    </xf>
    <xf numFmtId="0" fontId="0" fillId="9" borderId="1" xfId="0" applyFill="1" applyBorder="1" applyAlignment="1">
      <alignment horizontal="center" vertical="center" wrapText="1"/>
    </xf>
    <xf numFmtId="0" fontId="0" fillId="5" borderId="1" xfId="0" applyFill="1" applyBorder="1" applyAlignment="1">
      <alignment horizontal="center" vertical="center"/>
    </xf>
    <xf numFmtId="0" fontId="0" fillId="10" borderId="1" xfId="0" applyFill="1" applyBorder="1" applyAlignment="1">
      <alignment horizontal="center" vertical="center" wrapText="1"/>
    </xf>
    <xf numFmtId="14" fontId="0" fillId="3" borderId="1" xfId="0" applyNumberFormat="1" applyFill="1" applyBorder="1" applyAlignment="1">
      <alignment horizontal="center" vertical="center" wrapText="1"/>
    </xf>
    <xf numFmtId="14" fontId="0" fillId="0" borderId="1" xfId="0" applyNumberFormat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1" fillId="0" borderId="5" xfId="0" applyFont="1" applyBorder="1" applyAlignment="1">
      <alignment horizontal="center" vertical="center" wrapText="1"/>
    </xf>
    <xf numFmtId="0" fontId="7" fillId="0" borderId="1" xfId="0" applyFont="1" applyBorder="1" applyAlignment="1">
      <alignment horizontal="center" vertical="center"/>
    </xf>
    <xf numFmtId="0" fontId="7" fillId="0" borderId="1" xfId="0" applyFont="1" applyBorder="1" applyAlignment="1">
      <alignment horizontal="center"/>
    </xf>
    <xf numFmtId="0" fontId="2" fillId="0" borderId="2" xfId="0" applyFont="1" applyBorder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1" fillId="0" borderId="6" xfId="0" applyFont="1" applyBorder="1" applyAlignment="1">
      <alignment horizontal="center" vertical="center"/>
    </xf>
  </cellXfs>
  <cellStyles count="1">
    <cellStyle name="Normal" xfId="0" builtinId="0"/>
  </cellStyles>
  <dxfs count="7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externalLink" Target="externalLinks/externalLink1.xml"/><Relationship Id="rId10" Type="http://schemas.openxmlformats.org/officeDocument/2006/relationships/worksheet" Target="worksheets/sheet10.xml"/><Relationship Id="rId19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emf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3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1009650</xdr:colOff>
      <xdr:row>0</xdr:row>
      <xdr:rowOff>66674</xdr:rowOff>
    </xdr:from>
    <xdr:to>
      <xdr:col>6</xdr:col>
      <xdr:colOff>284612</xdr:colOff>
      <xdr:row>1</xdr:row>
      <xdr:rowOff>400049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8A44774F-2DBE-60F3-CD6B-B3855666EC8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390650" y="66674"/>
          <a:ext cx="4456562" cy="790575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0</xdr:row>
          <xdr:rowOff>0</xdr:rowOff>
        </xdr:from>
        <xdr:to>
          <xdr:col>13</xdr:col>
          <xdr:colOff>485775</xdr:colOff>
          <xdr:row>39</xdr:row>
          <xdr:rowOff>171450</xdr:rowOff>
        </xdr:to>
        <xdr:pic>
          <xdr:nvPicPr>
            <xdr:cNvPr id="4" name="Picture 3">
              <a:extLst>
                <a:ext uri="{FF2B5EF4-FFF2-40B4-BE49-F238E27FC236}">
                  <a16:creationId xmlns:a16="http://schemas.microsoft.com/office/drawing/2014/main" id="{2AD8FD28-C5A4-783F-B0ED-87C51548F26D}"/>
                </a:ext>
              </a:extLst>
            </xdr:cNvPr>
            <xdr:cNvPicPr>
              <a:picLocks noChangeAspect="1" noChangeArrowheads="1"/>
              <a:extLst>
                <a:ext uri="{84589F7E-364E-4C9E-8A38-B11213B215E9}">
                  <a14:cameraTool cellRange="'[1]DS 25-26'!$A$1:$G$36" spid="_x0000_s14339"/>
                </a:ext>
              </a:extLst>
            </xdr:cNvPicPr>
          </xdr:nvPicPr>
          <xdr:blipFill>
            <a:blip xmlns:r="http://schemas.openxmlformats.org/officeDocument/2006/relationships" r:embed="rId1"/>
            <a:srcRect/>
            <a:stretch>
              <a:fillRect/>
            </a:stretch>
          </xdr:blipFill>
          <xdr:spPr bwMode="auto">
            <a:xfrm>
              <a:off x="0" y="0"/>
              <a:ext cx="8410575" cy="760095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pic>
        <xdr:clientData/>
      </xdr:twoCellAnchor>
    </mc:Choice>
    <mc:Fallback/>
  </mc:AlternateContent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600075</xdr:colOff>
      <xdr:row>0</xdr:row>
      <xdr:rowOff>114300</xdr:rowOff>
    </xdr:from>
    <xdr:to>
      <xdr:col>5</xdr:col>
      <xdr:colOff>513212</xdr:colOff>
      <xdr:row>4</xdr:row>
      <xdr:rowOff>142875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7502AEDA-3FC2-4C30-B272-FB23D009C2A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00075" y="114300"/>
          <a:ext cx="4456562" cy="790575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CSE_DEAN\Downloads\New%20folder%20(4)\faculty%20list%20DS%20%20FINAL%20FROM%20DR%20YVRR.xlsx" TargetMode="External"/><Relationship Id="rId1" Type="http://schemas.openxmlformats.org/officeDocument/2006/relationships/externalLinkPath" Target="faculty%20list%20DS%20%20FINAL%20FROM%20DR%20YVRR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DS 25-26"/>
    </sheetNames>
    <sheetDataSet>
      <sheetData sheetId="0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2.xml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84"/>
  <sheetViews>
    <sheetView workbookViewId="0">
      <selection sqref="A1:L1"/>
    </sheetView>
  </sheetViews>
  <sheetFormatPr defaultRowHeight="34.9" customHeight="1" x14ac:dyDescent="0.25"/>
  <cols>
    <col min="1" max="1" width="3.7109375" customWidth="1"/>
    <col min="2" max="2" width="18.85546875" style="1" customWidth="1"/>
    <col min="3" max="3" width="13.28515625" style="1" customWidth="1"/>
    <col min="4" max="5" width="19.42578125" style="1" customWidth="1"/>
    <col min="6" max="6" width="10.5703125" style="1" hidden="1" customWidth="1"/>
    <col min="7" max="9" width="7.140625" style="1" hidden="1" customWidth="1"/>
    <col min="10" max="10" width="7.42578125" style="1" hidden="1" customWidth="1"/>
    <col min="11" max="11" width="8.85546875" style="1"/>
    <col min="12" max="12" width="10.42578125" style="1" hidden="1" customWidth="1"/>
  </cols>
  <sheetData>
    <row r="1" spans="1:13" ht="34.9" customHeight="1" x14ac:dyDescent="0.25">
      <c r="A1" s="46" t="s">
        <v>233</v>
      </c>
      <c r="B1" s="46"/>
      <c r="C1" s="46"/>
      <c r="D1" s="46"/>
      <c r="E1" s="46"/>
      <c r="F1" s="46"/>
      <c r="G1" s="46"/>
      <c r="H1" s="46"/>
      <c r="I1" s="46"/>
      <c r="J1" s="46"/>
      <c r="K1" s="46"/>
      <c r="L1" s="46"/>
      <c r="M1" t="s">
        <v>232</v>
      </c>
    </row>
    <row r="2" spans="1:13" ht="48.75" customHeight="1" x14ac:dyDescent="0.25">
      <c r="A2" s="3" t="s">
        <v>159</v>
      </c>
      <c r="B2" s="3" t="s">
        <v>160</v>
      </c>
      <c r="C2" s="3" t="s">
        <v>163</v>
      </c>
      <c r="D2" s="4" t="s">
        <v>231</v>
      </c>
      <c r="E2" s="3" t="s">
        <v>166</v>
      </c>
      <c r="F2" s="3" t="s">
        <v>167</v>
      </c>
      <c r="G2" s="3" t="s">
        <v>168</v>
      </c>
      <c r="H2" s="3" t="s">
        <v>169</v>
      </c>
      <c r="I2" s="3" t="s">
        <v>170</v>
      </c>
      <c r="J2" s="3" t="s">
        <v>172</v>
      </c>
      <c r="K2" s="3" t="s">
        <v>171</v>
      </c>
      <c r="L2"/>
    </row>
    <row r="3" spans="1:13" ht="42.75" customHeight="1" x14ac:dyDescent="0.25">
      <c r="A3" s="2">
        <v>1</v>
      </c>
      <c r="B3" s="6" t="s">
        <v>158</v>
      </c>
      <c r="C3" s="6" t="s">
        <v>1</v>
      </c>
      <c r="D3" s="6" t="s">
        <v>3</v>
      </c>
      <c r="E3" s="7">
        <v>42824</v>
      </c>
      <c r="F3" s="7">
        <v>43814</v>
      </c>
      <c r="G3" s="8">
        <v>100</v>
      </c>
      <c r="H3" s="8">
        <v>100</v>
      </c>
      <c r="I3" s="8">
        <v>100</v>
      </c>
      <c r="J3" s="6" t="s">
        <v>4</v>
      </c>
      <c r="K3" s="6" t="s">
        <v>5</v>
      </c>
      <c r="L3" s="5"/>
    </row>
    <row r="4" spans="1:13" ht="34.9" customHeight="1" x14ac:dyDescent="0.25">
      <c r="A4" s="2">
        <v>2</v>
      </c>
      <c r="B4" s="9" t="s">
        <v>6</v>
      </c>
      <c r="C4" s="9" t="s">
        <v>1</v>
      </c>
      <c r="D4" s="9" t="s">
        <v>3</v>
      </c>
      <c r="E4" s="10">
        <v>41348</v>
      </c>
      <c r="F4" s="10">
        <v>44515</v>
      </c>
      <c r="G4" s="8">
        <v>100</v>
      </c>
      <c r="H4" s="8">
        <v>100</v>
      </c>
      <c r="I4" s="8">
        <v>100</v>
      </c>
      <c r="J4" s="9" t="s">
        <v>4</v>
      </c>
      <c r="K4" s="9" t="s">
        <v>5</v>
      </c>
      <c r="L4" s="9"/>
    </row>
    <row r="5" spans="1:13" ht="34.9" customHeight="1" x14ac:dyDescent="0.25">
      <c r="A5" s="2">
        <v>3</v>
      </c>
      <c r="B5" s="6" t="s">
        <v>9</v>
      </c>
      <c r="C5" s="6" t="s">
        <v>11</v>
      </c>
      <c r="D5" s="6" t="s">
        <v>3</v>
      </c>
      <c r="E5" s="7">
        <v>41342</v>
      </c>
      <c r="F5" s="7">
        <v>39666</v>
      </c>
      <c r="G5" s="8">
        <v>100</v>
      </c>
      <c r="H5" s="8">
        <v>100</v>
      </c>
      <c r="I5" s="8">
        <v>100</v>
      </c>
      <c r="J5" s="6" t="s">
        <v>4</v>
      </c>
      <c r="K5" s="6" t="s">
        <v>5</v>
      </c>
      <c r="L5" s="6"/>
    </row>
    <row r="6" spans="1:13" ht="34.9" customHeight="1" x14ac:dyDescent="0.25">
      <c r="A6" s="2">
        <v>4</v>
      </c>
      <c r="B6" s="9" t="s">
        <v>13</v>
      </c>
      <c r="C6" s="9" t="s">
        <v>15</v>
      </c>
      <c r="D6" s="9" t="s">
        <v>16</v>
      </c>
      <c r="E6" s="10">
        <v>44662</v>
      </c>
      <c r="F6" s="10">
        <v>44713</v>
      </c>
      <c r="G6" s="8">
        <v>100</v>
      </c>
      <c r="H6" s="8">
        <v>100</v>
      </c>
      <c r="I6" s="8">
        <v>100</v>
      </c>
      <c r="J6" s="9" t="s">
        <v>4</v>
      </c>
      <c r="K6" s="9" t="s">
        <v>5</v>
      </c>
      <c r="L6" s="9"/>
    </row>
    <row r="7" spans="1:13" ht="34.9" customHeight="1" x14ac:dyDescent="0.25">
      <c r="A7" s="2">
        <v>5</v>
      </c>
      <c r="B7" s="6" t="s">
        <v>17</v>
      </c>
      <c r="C7" s="6" t="s">
        <v>15</v>
      </c>
      <c r="D7" s="6" t="s">
        <v>16</v>
      </c>
      <c r="E7" s="7">
        <v>44517</v>
      </c>
      <c r="F7" s="7">
        <v>44682</v>
      </c>
      <c r="G7" s="8">
        <v>100</v>
      </c>
      <c r="H7" s="8">
        <v>100</v>
      </c>
      <c r="I7" s="8">
        <v>100</v>
      </c>
      <c r="J7" s="6" t="s">
        <v>18</v>
      </c>
      <c r="K7" s="6" t="s">
        <v>5</v>
      </c>
      <c r="L7" s="7">
        <v>45917</v>
      </c>
    </row>
    <row r="8" spans="1:13" ht="34.9" customHeight="1" x14ac:dyDescent="0.25">
      <c r="A8" s="2">
        <v>6</v>
      </c>
      <c r="B8" s="9" t="s">
        <v>19</v>
      </c>
      <c r="C8" s="9" t="s">
        <v>15</v>
      </c>
      <c r="D8" s="9" t="s">
        <v>16</v>
      </c>
      <c r="E8" s="10">
        <v>40661</v>
      </c>
      <c r="F8" s="10">
        <v>45108</v>
      </c>
      <c r="G8" s="8">
        <v>100</v>
      </c>
      <c r="H8" s="8">
        <v>100</v>
      </c>
      <c r="I8" s="8">
        <v>0</v>
      </c>
      <c r="J8" s="9" t="s">
        <v>4</v>
      </c>
      <c r="K8" s="9" t="s">
        <v>5</v>
      </c>
      <c r="L8" s="9"/>
    </row>
    <row r="9" spans="1:13" ht="34.9" customHeight="1" x14ac:dyDescent="0.25">
      <c r="A9" s="2">
        <v>7</v>
      </c>
      <c r="B9" s="6" t="s">
        <v>22</v>
      </c>
      <c r="C9" s="6" t="s">
        <v>24</v>
      </c>
      <c r="D9" s="6" t="s">
        <v>16</v>
      </c>
      <c r="E9" s="7">
        <v>41878</v>
      </c>
      <c r="F9" s="7">
        <v>43650</v>
      </c>
      <c r="G9" s="8">
        <v>100</v>
      </c>
      <c r="H9" s="8">
        <v>100</v>
      </c>
      <c r="I9" s="8">
        <v>100</v>
      </c>
      <c r="J9" s="6" t="s">
        <v>4</v>
      </c>
      <c r="K9" s="6" t="s">
        <v>5</v>
      </c>
      <c r="L9" s="6"/>
    </row>
    <row r="10" spans="1:13" ht="34.9" customHeight="1" x14ac:dyDescent="0.25">
      <c r="A10" s="2">
        <v>8</v>
      </c>
      <c r="B10" s="9" t="s">
        <v>25</v>
      </c>
      <c r="C10" s="9" t="s">
        <v>15</v>
      </c>
      <c r="D10" s="9" t="s">
        <v>16</v>
      </c>
      <c r="E10" s="10">
        <v>38374</v>
      </c>
      <c r="F10" s="10">
        <v>44527</v>
      </c>
      <c r="G10" s="8">
        <v>100</v>
      </c>
      <c r="H10" s="8">
        <v>100</v>
      </c>
      <c r="I10" s="8">
        <v>100</v>
      </c>
      <c r="J10" s="9" t="s">
        <v>4</v>
      </c>
      <c r="K10" s="9" t="s">
        <v>5</v>
      </c>
      <c r="L10" s="9"/>
    </row>
    <row r="11" spans="1:13" ht="34.9" customHeight="1" x14ac:dyDescent="0.25">
      <c r="A11" s="2">
        <v>9</v>
      </c>
      <c r="B11" s="6" t="s">
        <v>27</v>
      </c>
      <c r="C11" s="6" t="s">
        <v>15</v>
      </c>
      <c r="D11" s="6" t="s">
        <v>16</v>
      </c>
      <c r="E11" s="7">
        <v>42650</v>
      </c>
      <c r="F11" s="7">
        <v>45107</v>
      </c>
      <c r="G11" s="8">
        <v>100</v>
      </c>
      <c r="H11" s="8">
        <v>100</v>
      </c>
      <c r="I11" s="8">
        <v>0</v>
      </c>
      <c r="J11" s="6" t="s">
        <v>4</v>
      </c>
      <c r="K11" s="6" t="s">
        <v>5</v>
      </c>
      <c r="L11" s="6"/>
    </row>
    <row r="12" spans="1:13" ht="34.9" customHeight="1" x14ac:dyDescent="0.25">
      <c r="A12" s="35">
        <v>10</v>
      </c>
      <c r="B12" s="16" t="s">
        <v>29</v>
      </c>
      <c r="C12" s="16" t="s">
        <v>11</v>
      </c>
      <c r="D12" s="16" t="s">
        <v>3</v>
      </c>
      <c r="E12" s="17">
        <v>43879</v>
      </c>
      <c r="F12" s="17">
        <v>44713</v>
      </c>
      <c r="G12" s="18">
        <v>100</v>
      </c>
      <c r="H12" s="18">
        <v>100</v>
      </c>
      <c r="I12" s="18">
        <v>100</v>
      </c>
      <c r="J12" s="16" t="s">
        <v>4</v>
      </c>
      <c r="K12" s="16" t="s">
        <v>5</v>
      </c>
      <c r="L12" s="16"/>
    </row>
    <row r="13" spans="1:13" ht="34.9" customHeight="1" x14ac:dyDescent="0.25">
      <c r="A13" s="2">
        <v>11</v>
      </c>
      <c r="B13" s="13" t="s">
        <v>31</v>
      </c>
      <c r="C13" s="13" t="s">
        <v>15</v>
      </c>
      <c r="D13" s="13" t="s">
        <v>16</v>
      </c>
      <c r="E13" s="14">
        <v>44578</v>
      </c>
      <c r="F13" s="14">
        <v>44652</v>
      </c>
      <c r="G13" s="15">
        <v>0</v>
      </c>
      <c r="H13" s="15">
        <v>0</v>
      </c>
      <c r="I13" s="15">
        <v>0</v>
      </c>
      <c r="J13" s="13"/>
      <c r="K13" s="13" t="s">
        <v>5</v>
      </c>
      <c r="L13" s="14">
        <v>45079</v>
      </c>
    </row>
    <row r="14" spans="1:13" ht="34.9" customHeight="1" x14ac:dyDescent="0.25">
      <c r="A14" s="31">
        <v>12</v>
      </c>
      <c r="B14" s="32" t="s">
        <v>32</v>
      </c>
      <c r="C14" s="32" t="s">
        <v>15</v>
      </c>
      <c r="D14" s="32" t="s">
        <v>16</v>
      </c>
      <c r="E14" s="33">
        <v>38824</v>
      </c>
      <c r="F14" s="33">
        <v>45444</v>
      </c>
      <c r="G14" s="34">
        <v>100</v>
      </c>
      <c r="H14" s="34">
        <v>0</v>
      </c>
      <c r="I14" s="34">
        <v>0</v>
      </c>
      <c r="J14" s="32" t="s">
        <v>4</v>
      </c>
      <c r="K14" s="32" t="s">
        <v>5</v>
      </c>
      <c r="L14" s="32"/>
    </row>
    <row r="15" spans="1:13" ht="34.9" customHeight="1" x14ac:dyDescent="0.25">
      <c r="A15" s="2">
        <v>13</v>
      </c>
      <c r="B15" s="6" t="s">
        <v>34</v>
      </c>
      <c r="C15" s="6" t="s">
        <v>15</v>
      </c>
      <c r="D15" s="6" t="s">
        <v>16</v>
      </c>
      <c r="E15" s="7">
        <v>42202</v>
      </c>
      <c r="F15" s="7">
        <v>44862</v>
      </c>
      <c r="G15" s="8">
        <v>100</v>
      </c>
      <c r="H15" s="8">
        <v>100</v>
      </c>
      <c r="I15" s="8">
        <v>0</v>
      </c>
      <c r="J15" s="6" t="s">
        <v>4</v>
      </c>
      <c r="K15" s="6" t="s">
        <v>5</v>
      </c>
      <c r="L15" s="6"/>
    </row>
    <row r="16" spans="1:13" ht="34.9" customHeight="1" x14ac:dyDescent="0.25">
      <c r="A16" s="31">
        <v>14</v>
      </c>
      <c r="B16" s="32" t="s">
        <v>36</v>
      </c>
      <c r="C16" s="32" t="s">
        <v>15</v>
      </c>
      <c r="D16" s="32" t="s">
        <v>16</v>
      </c>
      <c r="E16" s="33">
        <v>36805</v>
      </c>
      <c r="F16" s="33">
        <v>45474</v>
      </c>
      <c r="G16" s="34">
        <v>100</v>
      </c>
      <c r="H16" s="34">
        <v>0</v>
      </c>
      <c r="I16" s="34">
        <v>0</v>
      </c>
      <c r="J16" s="32" t="s">
        <v>4</v>
      </c>
      <c r="K16" s="32" t="s">
        <v>5</v>
      </c>
      <c r="L16" s="32"/>
    </row>
    <row r="17" spans="1:12" ht="34.9" customHeight="1" x14ac:dyDescent="0.25">
      <c r="A17" s="31">
        <v>15</v>
      </c>
      <c r="B17" s="32" t="s">
        <v>38</v>
      </c>
      <c r="C17" s="32" t="s">
        <v>15</v>
      </c>
      <c r="D17" s="32" t="s">
        <v>16</v>
      </c>
      <c r="E17" s="33">
        <v>42661</v>
      </c>
      <c r="F17" s="33">
        <v>45416</v>
      </c>
      <c r="G17" s="34">
        <v>100</v>
      </c>
      <c r="H17" s="34">
        <v>0</v>
      </c>
      <c r="I17" s="34">
        <v>0</v>
      </c>
      <c r="J17" s="32" t="s">
        <v>4</v>
      </c>
      <c r="K17" s="32" t="s">
        <v>5</v>
      </c>
      <c r="L17" s="32"/>
    </row>
    <row r="18" spans="1:12" ht="34.9" customHeight="1" x14ac:dyDescent="0.25">
      <c r="A18" s="2">
        <v>16</v>
      </c>
      <c r="B18" s="16" t="s">
        <v>40</v>
      </c>
      <c r="C18" s="16" t="s">
        <v>15</v>
      </c>
      <c r="D18" s="16" t="s">
        <v>16</v>
      </c>
      <c r="E18" s="17">
        <v>44418</v>
      </c>
      <c r="F18" s="17">
        <v>44652</v>
      </c>
      <c r="G18" s="18">
        <v>0</v>
      </c>
      <c r="H18" s="18">
        <v>0</v>
      </c>
      <c r="I18" s="18">
        <v>100</v>
      </c>
      <c r="J18" s="16" t="s">
        <v>180</v>
      </c>
      <c r="K18" s="16" t="s">
        <v>5</v>
      </c>
      <c r="L18" s="17">
        <v>45076</v>
      </c>
    </row>
    <row r="19" spans="1:12" ht="34.9" customHeight="1" x14ac:dyDescent="0.25">
      <c r="A19" s="2">
        <v>17</v>
      </c>
      <c r="B19" s="6" t="s">
        <v>41</v>
      </c>
      <c r="C19" s="6" t="s">
        <v>15</v>
      </c>
      <c r="D19" s="6" t="s">
        <v>16</v>
      </c>
      <c r="E19" s="7">
        <v>39323</v>
      </c>
      <c r="F19" s="7">
        <v>40771</v>
      </c>
      <c r="G19" s="8">
        <v>100</v>
      </c>
      <c r="H19" s="8">
        <v>100</v>
      </c>
      <c r="I19" s="8">
        <v>100</v>
      </c>
      <c r="J19" s="6" t="s">
        <v>4</v>
      </c>
      <c r="K19" s="6" t="s">
        <v>5</v>
      </c>
      <c r="L19" s="6"/>
    </row>
    <row r="20" spans="1:12" ht="34.9" customHeight="1" x14ac:dyDescent="0.25">
      <c r="A20" s="2">
        <v>18</v>
      </c>
      <c r="B20" s="9" t="s">
        <v>43</v>
      </c>
      <c r="C20" s="9" t="s">
        <v>15</v>
      </c>
      <c r="D20" s="9" t="s">
        <v>16</v>
      </c>
      <c r="E20" s="10">
        <v>38605</v>
      </c>
      <c r="F20" s="10">
        <v>42186</v>
      </c>
      <c r="G20" s="8">
        <v>100</v>
      </c>
      <c r="H20" s="8">
        <v>100</v>
      </c>
      <c r="I20" s="8">
        <v>100</v>
      </c>
      <c r="J20" s="9" t="s">
        <v>4</v>
      </c>
      <c r="K20" s="9" t="s">
        <v>5</v>
      </c>
      <c r="L20" s="9"/>
    </row>
    <row r="21" spans="1:12" ht="34.9" customHeight="1" x14ac:dyDescent="0.25">
      <c r="A21" s="2">
        <v>19</v>
      </c>
      <c r="B21" s="6" t="s">
        <v>45</v>
      </c>
      <c r="C21" s="6" t="s">
        <v>15</v>
      </c>
      <c r="D21" s="6" t="s">
        <v>16</v>
      </c>
      <c r="E21" s="7">
        <v>42842</v>
      </c>
      <c r="F21" s="7">
        <v>45117</v>
      </c>
      <c r="G21" s="8">
        <v>100</v>
      </c>
      <c r="H21" s="8">
        <v>100</v>
      </c>
      <c r="I21" s="8">
        <v>0</v>
      </c>
      <c r="J21" s="6" t="s">
        <v>4</v>
      </c>
      <c r="K21" s="6" t="s">
        <v>5</v>
      </c>
      <c r="L21" s="6"/>
    </row>
    <row r="22" spans="1:12" ht="34.9" customHeight="1" x14ac:dyDescent="0.25">
      <c r="A22" s="2">
        <v>20</v>
      </c>
      <c r="B22" s="9" t="s">
        <v>47</v>
      </c>
      <c r="C22" s="9" t="s">
        <v>15</v>
      </c>
      <c r="D22" s="9" t="s">
        <v>16</v>
      </c>
      <c r="E22" s="10">
        <v>44652</v>
      </c>
      <c r="F22" s="10">
        <v>44707</v>
      </c>
      <c r="G22" s="8">
        <v>100</v>
      </c>
      <c r="H22" s="8">
        <v>100</v>
      </c>
      <c r="I22" s="8">
        <v>100</v>
      </c>
      <c r="J22" s="9" t="s">
        <v>4</v>
      </c>
      <c r="K22" s="9" t="s">
        <v>5</v>
      </c>
      <c r="L22" s="9"/>
    </row>
    <row r="23" spans="1:12" ht="34.9" customHeight="1" x14ac:dyDescent="0.25">
      <c r="A23" s="2">
        <v>21</v>
      </c>
      <c r="B23" s="6" t="s">
        <v>50</v>
      </c>
      <c r="C23" s="6" t="s">
        <v>15</v>
      </c>
      <c r="D23" s="6" t="s">
        <v>16</v>
      </c>
      <c r="E23" s="7">
        <v>44428</v>
      </c>
      <c r="F23" s="7">
        <v>44707</v>
      </c>
      <c r="G23" s="8">
        <v>0</v>
      </c>
      <c r="H23" s="8">
        <v>100</v>
      </c>
      <c r="I23" s="8">
        <v>100</v>
      </c>
      <c r="J23" s="6" t="s">
        <v>18</v>
      </c>
      <c r="K23" s="6" t="s">
        <v>5</v>
      </c>
      <c r="L23" s="7">
        <v>45507</v>
      </c>
    </row>
    <row r="24" spans="1:12" ht="34.9" customHeight="1" x14ac:dyDescent="0.25">
      <c r="A24" s="27">
        <v>22</v>
      </c>
      <c r="B24" s="28" t="s">
        <v>51</v>
      </c>
      <c r="C24" s="28" t="s">
        <v>15</v>
      </c>
      <c r="D24" s="28" t="s">
        <v>16</v>
      </c>
      <c r="E24" s="29">
        <v>44652</v>
      </c>
      <c r="F24" s="29">
        <v>44537</v>
      </c>
      <c r="G24" s="30">
        <v>0</v>
      </c>
      <c r="H24" s="30">
        <v>0</v>
      </c>
      <c r="I24" s="30">
        <v>0</v>
      </c>
      <c r="J24" s="28"/>
      <c r="K24" s="28" t="s">
        <v>5</v>
      </c>
      <c r="L24" s="29">
        <v>45442</v>
      </c>
    </row>
    <row r="25" spans="1:12" ht="34.9" customHeight="1" x14ac:dyDescent="0.25">
      <c r="A25" s="27">
        <v>23</v>
      </c>
      <c r="B25" s="28" t="s">
        <v>52</v>
      </c>
      <c r="C25" s="28" t="s">
        <v>15</v>
      </c>
      <c r="D25" s="28" t="s">
        <v>16</v>
      </c>
      <c r="E25" s="29">
        <v>40809</v>
      </c>
      <c r="F25" s="29">
        <v>44652</v>
      </c>
      <c r="G25" s="30">
        <v>0</v>
      </c>
      <c r="H25" s="30">
        <v>0</v>
      </c>
      <c r="I25" s="30">
        <v>0</v>
      </c>
      <c r="J25" s="28"/>
      <c r="K25" s="28" t="s">
        <v>5</v>
      </c>
      <c r="L25" s="29">
        <v>45093</v>
      </c>
    </row>
    <row r="26" spans="1:12" ht="34.9" customHeight="1" x14ac:dyDescent="0.25">
      <c r="A26" s="2">
        <v>24</v>
      </c>
      <c r="B26" s="9" t="s">
        <v>53</v>
      </c>
      <c r="C26" s="9" t="s">
        <v>15</v>
      </c>
      <c r="D26" s="9" t="s">
        <v>16</v>
      </c>
      <c r="E26" s="10">
        <v>40644</v>
      </c>
      <c r="F26" s="10">
        <v>45103</v>
      </c>
      <c r="G26" s="8">
        <v>100</v>
      </c>
      <c r="H26" s="8">
        <v>100</v>
      </c>
      <c r="I26" s="8">
        <v>0</v>
      </c>
      <c r="J26" s="9" t="s">
        <v>4</v>
      </c>
      <c r="K26" s="9" t="s">
        <v>5</v>
      </c>
      <c r="L26" s="9"/>
    </row>
    <row r="27" spans="1:12" ht="34.9" customHeight="1" x14ac:dyDescent="0.25">
      <c r="A27" s="2">
        <v>25</v>
      </c>
      <c r="B27" s="6" t="s">
        <v>55</v>
      </c>
      <c r="C27" s="6" t="s">
        <v>15</v>
      </c>
      <c r="D27" s="6" t="s">
        <v>16</v>
      </c>
      <c r="E27" s="7">
        <v>42888</v>
      </c>
      <c r="F27" s="7">
        <v>44433</v>
      </c>
      <c r="G27" s="8">
        <v>100</v>
      </c>
      <c r="H27" s="8">
        <v>100</v>
      </c>
      <c r="I27" s="8">
        <v>100</v>
      </c>
      <c r="J27" s="6" t="s">
        <v>4</v>
      </c>
      <c r="K27" s="6" t="s">
        <v>5</v>
      </c>
      <c r="L27" s="6"/>
    </row>
    <row r="28" spans="1:12" ht="34.9" customHeight="1" x14ac:dyDescent="0.25">
      <c r="A28" s="2">
        <v>26</v>
      </c>
      <c r="B28" s="9" t="s">
        <v>57</v>
      </c>
      <c r="C28" s="9" t="s">
        <v>15</v>
      </c>
      <c r="D28" s="9" t="s">
        <v>16</v>
      </c>
      <c r="E28" s="10">
        <v>41226</v>
      </c>
      <c r="F28" s="10">
        <v>44641</v>
      </c>
      <c r="G28" s="8">
        <v>100</v>
      </c>
      <c r="H28" s="8">
        <v>100</v>
      </c>
      <c r="I28" s="8">
        <v>100</v>
      </c>
      <c r="J28" s="9" t="s">
        <v>18</v>
      </c>
      <c r="K28" s="9" t="s">
        <v>5</v>
      </c>
      <c r="L28" s="10">
        <v>45805</v>
      </c>
    </row>
    <row r="29" spans="1:12" ht="34.9" customHeight="1" x14ac:dyDescent="0.25">
      <c r="A29" s="2">
        <v>27</v>
      </c>
      <c r="B29" s="6" t="s">
        <v>58</v>
      </c>
      <c r="C29" s="6" t="s">
        <v>15</v>
      </c>
      <c r="D29" s="6" t="s">
        <v>16</v>
      </c>
      <c r="E29" s="7">
        <v>40651</v>
      </c>
      <c r="F29" s="7">
        <v>44716</v>
      </c>
      <c r="G29" s="8">
        <v>100</v>
      </c>
      <c r="H29" s="8">
        <v>100</v>
      </c>
      <c r="I29" s="8">
        <v>100</v>
      </c>
      <c r="J29" s="6" t="s">
        <v>4</v>
      </c>
      <c r="K29" s="6" t="s">
        <v>5</v>
      </c>
      <c r="L29" s="6"/>
    </row>
    <row r="30" spans="1:12" ht="34.9" customHeight="1" x14ac:dyDescent="0.25">
      <c r="A30" s="2">
        <v>28</v>
      </c>
      <c r="B30" s="9" t="s">
        <v>60</v>
      </c>
      <c r="C30" s="9" t="s">
        <v>15</v>
      </c>
      <c r="D30" s="9" t="s">
        <v>16</v>
      </c>
      <c r="E30" s="10">
        <v>39660</v>
      </c>
      <c r="F30" s="10">
        <v>44508</v>
      </c>
      <c r="G30" s="8">
        <v>100</v>
      </c>
      <c r="H30" s="8">
        <v>100</v>
      </c>
      <c r="I30" s="8">
        <v>100</v>
      </c>
      <c r="J30" s="9" t="s">
        <v>4</v>
      </c>
      <c r="K30" s="9" t="s">
        <v>5</v>
      </c>
      <c r="L30" s="9"/>
    </row>
    <row r="31" spans="1:12" ht="34.9" customHeight="1" x14ac:dyDescent="0.25">
      <c r="A31" s="27">
        <v>29</v>
      </c>
      <c r="B31" s="28" t="s">
        <v>62</v>
      </c>
      <c r="C31" s="28" t="s">
        <v>15</v>
      </c>
      <c r="D31" s="28" t="s">
        <v>16</v>
      </c>
      <c r="E31" s="29">
        <v>36059</v>
      </c>
      <c r="F31" s="29">
        <v>44144</v>
      </c>
      <c r="G31" s="30">
        <v>0</v>
      </c>
      <c r="H31" s="30">
        <v>0</v>
      </c>
      <c r="I31" s="30">
        <v>0</v>
      </c>
      <c r="J31" s="28"/>
      <c r="K31" s="28" t="s">
        <v>5</v>
      </c>
      <c r="L31" s="29">
        <v>45453</v>
      </c>
    </row>
    <row r="32" spans="1:12" ht="34.9" customHeight="1" x14ac:dyDescent="0.25">
      <c r="A32" s="2">
        <v>30</v>
      </c>
      <c r="B32" s="9" t="s">
        <v>63</v>
      </c>
      <c r="C32" s="9" t="s">
        <v>15</v>
      </c>
      <c r="D32" s="9" t="s">
        <v>16</v>
      </c>
      <c r="E32" s="10">
        <v>40562</v>
      </c>
      <c r="F32" s="10">
        <v>42095</v>
      </c>
      <c r="G32" s="8">
        <v>100</v>
      </c>
      <c r="H32" s="8">
        <v>100</v>
      </c>
      <c r="I32" s="8">
        <v>100</v>
      </c>
      <c r="J32" s="9" t="s">
        <v>4</v>
      </c>
      <c r="K32" s="9" t="s">
        <v>5</v>
      </c>
      <c r="L32" s="9"/>
    </row>
    <row r="33" spans="1:12" ht="34.9" customHeight="1" x14ac:dyDescent="0.25">
      <c r="A33" s="2">
        <v>31</v>
      </c>
      <c r="B33" s="6" t="s">
        <v>65</v>
      </c>
      <c r="C33" s="6" t="s">
        <v>66</v>
      </c>
      <c r="D33" s="6" t="s">
        <v>3</v>
      </c>
      <c r="E33" s="7">
        <v>44895</v>
      </c>
      <c r="F33" s="7">
        <v>45112</v>
      </c>
      <c r="G33" s="8">
        <v>0</v>
      </c>
      <c r="H33" s="8">
        <v>100</v>
      </c>
      <c r="I33" s="8">
        <v>0</v>
      </c>
      <c r="J33" s="6" t="s">
        <v>18</v>
      </c>
      <c r="K33" s="6" t="s">
        <v>5</v>
      </c>
      <c r="L33" s="7">
        <v>45449</v>
      </c>
    </row>
    <row r="34" spans="1:12" ht="34.9" customHeight="1" x14ac:dyDescent="0.25">
      <c r="A34" s="2">
        <v>32</v>
      </c>
      <c r="B34" s="9" t="s">
        <v>68</v>
      </c>
      <c r="C34" s="9" t="s">
        <v>15</v>
      </c>
      <c r="D34" s="9" t="s">
        <v>16</v>
      </c>
      <c r="E34" s="10">
        <v>38474</v>
      </c>
      <c r="F34" s="10">
        <v>42879</v>
      </c>
      <c r="G34" s="8">
        <v>100</v>
      </c>
      <c r="H34" s="8">
        <v>100</v>
      </c>
      <c r="I34" s="8">
        <v>100</v>
      </c>
      <c r="J34" s="9" t="s">
        <v>4</v>
      </c>
      <c r="K34" s="9" t="s">
        <v>5</v>
      </c>
      <c r="L34" s="9"/>
    </row>
    <row r="35" spans="1:12" ht="34.9" customHeight="1" x14ac:dyDescent="0.25">
      <c r="A35" s="31">
        <v>33</v>
      </c>
      <c r="B35" s="32" t="s">
        <v>70</v>
      </c>
      <c r="C35" s="32" t="s">
        <v>71</v>
      </c>
      <c r="D35" s="32" t="s">
        <v>16</v>
      </c>
      <c r="E35" s="33">
        <v>40009</v>
      </c>
      <c r="F35" s="33">
        <v>41428</v>
      </c>
      <c r="G35" s="34">
        <v>0</v>
      </c>
      <c r="H35" s="34">
        <v>0</v>
      </c>
      <c r="I35" s="34">
        <v>100</v>
      </c>
      <c r="J35" s="32" t="s">
        <v>18</v>
      </c>
      <c r="K35" s="32" t="s">
        <v>5</v>
      </c>
      <c r="L35" s="33">
        <v>45092</v>
      </c>
    </row>
    <row r="36" spans="1:12" ht="34.9" customHeight="1" x14ac:dyDescent="0.25">
      <c r="A36" s="2">
        <v>34</v>
      </c>
      <c r="B36" s="9" t="s">
        <v>72</v>
      </c>
      <c r="C36" s="9" t="s">
        <v>71</v>
      </c>
      <c r="D36" s="9" t="s">
        <v>16</v>
      </c>
      <c r="E36" s="10">
        <v>39325</v>
      </c>
      <c r="F36" s="10">
        <v>45132</v>
      </c>
      <c r="G36" s="8">
        <v>100</v>
      </c>
      <c r="H36" s="8">
        <v>100</v>
      </c>
      <c r="I36" s="8">
        <v>0</v>
      </c>
      <c r="J36" s="9" t="s">
        <v>4</v>
      </c>
      <c r="K36" s="9" t="s">
        <v>5</v>
      </c>
      <c r="L36" s="9"/>
    </row>
    <row r="37" spans="1:12" ht="34.9" customHeight="1" x14ac:dyDescent="0.25">
      <c r="A37" s="2">
        <v>35</v>
      </c>
      <c r="B37" s="6" t="s">
        <v>74</v>
      </c>
      <c r="C37" s="6" t="s">
        <v>71</v>
      </c>
      <c r="D37" s="6" t="s">
        <v>16</v>
      </c>
      <c r="E37" s="7">
        <v>40672</v>
      </c>
      <c r="F37" s="7">
        <v>44830</v>
      </c>
      <c r="G37" s="8">
        <v>100</v>
      </c>
      <c r="H37" s="8">
        <v>100</v>
      </c>
      <c r="I37" s="8">
        <v>0</v>
      </c>
      <c r="J37" s="6" t="s">
        <v>18</v>
      </c>
      <c r="K37" s="6" t="s">
        <v>5</v>
      </c>
      <c r="L37" s="7">
        <v>45805</v>
      </c>
    </row>
    <row r="38" spans="1:12" ht="34.9" customHeight="1" x14ac:dyDescent="0.25">
      <c r="A38" s="2">
        <v>36</v>
      </c>
      <c r="B38" s="9" t="s">
        <v>75</v>
      </c>
      <c r="C38" s="9" t="s">
        <v>71</v>
      </c>
      <c r="D38" s="9" t="s">
        <v>16</v>
      </c>
      <c r="E38" s="10">
        <v>39359</v>
      </c>
      <c r="F38" s="10">
        <v>44223</v>
      </c>
      <c r="G38" s="8">
        <v>100</v>
      </c>
      <c r="H38" s="8">
        <v>100</v>
      </c>
      <c r="I38" s="8">
        <v>100</v>
      </c>
      <c r="J38" s="9" t="s">
        <v>4</v>
      </c>
      <c r="K38" s="9" t="s">
        <v>5</v>
      </c>
      <c r="L38" s="9"/>
    </row>
    <row r="39" spans="1:12" ht="34.9" customHeight="1" x14ac:dyDescent="0.25">
      <c r="A39" s="2">
        <v>37</v>
      </c>
      <c r="B39" s="6" t="s">
        <v>77</v>
      </c>
      <c r="C39" s="6" t="s">
        <v>15</v>
      </c>
      <c r="D39" s="6" t="s">
        <v>16</v>
      </c>
      <c r="E39" s="7">
        <v>43196</v>
      </c>
      <c r="F39" s="7">
        <v>45444</v>
      </c>
      <c r="G39" s="8">
        <v>100</v>
      </c>
      <c r="H39" s="8">
        <v>0</v>
      </c>
      <c r="I39" s="8">
        <v>0</v>
      </c>
      <c r="J39" s="6" t="s">
        <v>4</v>
      </c>
      <c r="K39" s="6" t="s">
        <v>5</v>
      </c>
      <c r="L39" s="6"/>
    </row>
    <row r="40" spans="1:12" ht="34.9" customHeight="1" x14ac:dyDescent="0.25">
      <c r="A40" s="2">
        <v>38</v>
      </c>
      <c r="B40" s="9" t="s">
        <v>79</v>
      </c>
      <c r="C40" s="9" t="s">
        <v>71</v>
      </c>
      <c r="D40" s="9" t="s">
        <v>16</v>
      </c>
      <c r="E40" s="10">
        <v>41379</v>
      </c>
      <c r="F40" s="10">
        <v>44652</v>
      </c>
      <c r="G40" s="8">
        <v>100</v>
      </c>
      <c r="H40" s="8">
        <v>100</v>
      </c>
      <c r="I40" s="8">
        <v>100</v>
      </c>
      <c r="J40" s="9" t="s">
        <v>4</v>
      </c>
      <c r="K40" s="9" t="s">
        <v>5</v>
      </c>
      <c r="L40" s="9"/>
    </row>
    <row r="41" spans="1:12" ht="34.9" customHeight="1" x14ac:dyDescent="0.25">
      <c r="A41" s="2">
        <v>39</v>
      </c>
      <c r="B41" s="6" t="s">
        <v>81</v>
      </c>
      <c r="C41" s="6" t="s">
        <v>71</v>
      </c>
      <c r="D41" s="6" t="s">
        <v>16</v>
      </c>
      <c r="E41" s="7">
        <v>40005</v>
      </c>
      <c r="F41" s="7">
        <v>43643</v>
      </c>
      <c r="G41" s="8">
        <v>100</v>
      </c>
      <c r="H41" s="8">
        <v>100</v>
      </c>
      <c r="I41" s="8">
        <v>100</v>
      </c>
      <c r="J41" s="6" t="s">
        <v>4</v>
      </c>
      <c r="K41" s="6" t="s">
        <v>5</v>
      </c>
      <c r="L41" s="6"/>
    </row>
    <row r="42" spans="1:12" ht="34.9" customHeight="1" x14ac:dyDescent="0.25">
      <c r="A42" s="2">
        <v>40</v>
      </c>
      <c r="B42" s="9" t="s">
        <v>83</v>
      </c>
      <c r="C42" s="9" t="s">
        <v>71</v>
      </c>
      <c r="D42" s="9" t="s">
        <v>16</v>
      </c>
      <c r="E42" s="10">
        <v>36025</v>
      </c>
      <c r="F42" s="10">
        <v>40010</v>
      </c>
      <c r="G42" s="8">
        <v>100</v>
      </c>
      <c r="H42" s="8">
        <v>100</v>
      </c>
      <c r="I42" s="8">
        <v>100</v>
      </c>
      <c r="J42" s="9" t="s">
        <v>4</v>
      </c>
      <c r="K42" s="9" t="s">
        <v>5</v>
      </c>
      <c r="L42" s="9"/>
    </row>
    <row r="43" spans="1:12" ht="34.9" customHeight="1" x14ac:dyDescent="0.25">
      <c r="A43" s="2">
        <v>41</v>
      </c>
      <c r="B43" s="6" t="s">
        <v>85</v>
      </c>
      <c r="C43" s="6" t="s">
        <v>71</v>
      </c>
      <c r="D43" s="6" t="s">
        <v>16</v>
      </c>
      <c r="E43" s="7">
        <v>43962</v>
      </c>
      <c r="F43" s="7">
        <v>44652</v>
      </c>
      <c r="G43" s="8">
        <v>0</v>
      </c>
      <c r="H43" s="8">
        <v>0</v>
      </c>
      <c r="I43" s="8">
        <v>100</v>
      </c>
      <c r="J43" s="6" t="s">
        <v>18</v>
      </c>
      <c r="K43" s="6" t="s">
        <v>5</v>
      </c>
      <c r="L43" s="7">
        <v>45100</v>
      </c>
    </row>
    <row r="44" spans="1:12" ht="34.9" customHeight="1" x14ac:dyDescent="0.25">
      <c r="A44" s="2">
        <v>42</v>
      </c>
      <c r="B44" s="9" t="s">
        <v>86</v>
      </c>
      <c r="C44" s="9" t="s">
        <v>15</v>
      </c>
      <c r="D44" s="9" t="s">
        <v>16</v>
      </c>
      <c r="E44" s="10">
        <v>38632</v>
      </c>
      <c r="F44" s="10">
        <v>44757</v>
      </c>
      <c r="G44" s="8">
        <v>100</v>
      </c>
      <c r="H44" s="8">
        <v>100</v>
      </c>
      <c r="I44" s="8">
        <v>100</v>
      </c>
      <c r="J44" s="9" t="s">
        <v>4</v>
      </c>
      <c r="K44" s="9" t="s">
        <v>5</v>
      </c>
      <c r="L44" s="9"/>
    </row>
    <row r="45" spans="1:12" ht="66.599999999999994" customHeight="1" x14ac:dyDescent="0.25">
      <c r="A45" s="2">
        <v>43</v>
      </c>
      <c r="B45" s="6" t="s">
        <v>88</v>
      </c>
      <c r="C45" s="6" t="s">
        <v>90</v>
      </c>
      <c r="D45" s="6" t="s">
        <v>16</v>
      </c>
      <c r="E45" s="7">
        <v>42808</v>
      </c>
      <c r="F45" s="7">
        <v>43810</v>
      </c>
      <c r="G45" s="8">
        <v>100</v>
      </c>
      <c r="H45" s="8">
        <v>100</v>
      </c>
      <c r="I45" s="8">
        <v>100</v>
      </c>
      <c r="J45" s="6" t="s">
        <v>4</v>
      </c>
      <c r="K45" s="6" t="s">
        <v>5</v>
      </c>
      <c r="L45" s="6"/>
    </row>
    <row r="46" spans="1:12" ht="67.900000000000006" customHeight="1" x14ac:dyDescent="0.25">
      <c r="A46" s="2">
        <v>44</v>
      </c>
      <c r="B46" s="9" t="s">
        <v>92</v>
      </c>
      <c r="C46" s="9" t="s">
        <v>90</v>
      </c>
      <c r="D46" s="9" t="s">
        <v>16</v>
      </c>
      <c r="E46" s="10">
        <v>41116</v>
      </c>
      <c r="F46" s="10">
        <v>43810</v>
      </c>
      <c r="G46" s="8">
        <v>100</v>
      </c>
      <c r="H46" s="8">
        <v>100</v>
      </c>
      <c r="I46" s="8">
        <v>100</v>
      </c>
      <c r="J46" s="9" t="s">
        <v>18</v>
      </c>
      <c r="K46" s="9" t="s">
        <v>5</v>
      </c>
      <c r="L46" s="10">
        <v>45824</v>
      </c>
    </row>
    <row r="47" spans="1:12" ht="58.9" customHeight="1" x14ac:dyDescent="0.25">
      <c r="A47" s="2">
        <v>45</v>
      </c>
      <c r="B47" s="6" t="s">
        <v>93</v>
      </c>
      <c r="C47" s="6" t="s">
        <v>90</v>
      </c>
      <c r="D47" s="6" t="s">
        <v>16</v>
      </c>
      <c r="E47" s="7">
        <v>44333</v>
      </c>
      <c r="F47" s="7">
        <v>44725</v>
      </c>
      <c r="G47" s="8">
        <v>100</v>
      </c>
      <c r="H47" s="8">
        <v>100</v>
      </c>
      <c r="I47" s="8">
        <v>100</v>
      </c>
      <c r="J47" s="6" t="s">
        <v>18</v>
      </c>
      <c r="K47" s="6" t="s">
        <v>5</v>
      </c>
      <c r="L47" s="7">
        <v>45812</v>
      </c>
    </row>
    <row r="48" spans="1:12" ht="67.150000000000006" customHeight="1" x14ac:dyDescent="0.25">
      <c r="A48" s="2">
        <v>46</v>
      </c>
      <c r="B48" s="9" t="s">
        <v>94</v>
      </c>
      <c r="C48" s="9" t="s">
        <v>90</v>
      </c>
      <c r="D48" s="9" t="s">
        <v>16</v>
      </c>
      <c r="E48" s="10">
        <v>41443</v>
      </c>
      <c r="F48" s="10">
        <v>42177</v>
      </c>
      <c r="G48" s="8">
        <v>0</v>
      </c>
      <c r="H48" s="8">
        <v>100</v>
      </c>
      <c r="I48" s="8">
        <v>100</v>
      </c>
      <c r="J48" s="9" t="s">
        <v>18</v>
      </c>
      <c r="K48" s="9" t="s">
        <v>5</v>
      </c>
      <c r="L48" s="10">
        <v>45460</v>
      </c>
    </row>
    <row r="49" spans="1:12" ht="34.9" customHeight="1" x14ac:dyDescent="0.25">
      <c r="A49" s="2">
        <v>47</v>
      </c>
      <c r="B49" s="6" t="s">
        <v>95</v>
      </c>
      <c r="C49" s="6" t="s">
        <v>90</v>
      </c>
      <c r="D49" s="6" t="s">
        <v>16</v>
      </c>
      <c r="E49" s="7">
        <v>42723</v>
      </c>
      <c r="F49" s="7">
        <v>43486</v>
      </c>
      <c r="G49" s="8">
        <v>100</v>
      </c>
      <c r="H49" s="8">
        <v>100</v>
      </c>
      <c r="I49" s="8">
        <v>100</v>
      </c>
      <c r="J49" s="6" t="s">
        <v>4</v>
      </c>
      <c r="K49" s="6" t="s">
        <v>5</v>
      </c>
      <c r="L49" s="6"/>
    </row>
    <row r="50" spans="1:12" ht="34.9" customHeight="1" x14ac:dyDescent="0.25">
      <c r="A50" s="2">
        <v>48</v>
      </c>
      <c r="B50" s="9" t="s">
        <v>97</v>
      </c>
      <c r="C50" s="9" t="s">
        <v>98</v>
      </c>
      <c r="D50" s="9" t="s">
        <v>3</v>
      </c>
      <c r="E50" s="10">
        <v>44926</v>
      </c>
      <c r="F50" s="10">
        <v>43757</v>
      </c>
      <c r="G50" s="8">
        <v>100</v>
      </c>
      <c r="H50" s="8">
        <v>100</v>
      </c>
      <c r="I50" s="8">
        <v>100</v>
      </c>
      <c r="J50" s="9" t="s">
        <v>4</v>
      </c>
      <c r="K50" s="9" t="s">
        <v>5</v>
      </c>
      <c r="L50" s="9"/>
    </row>
    <row r="51" spans="1:12" ht="34.9" customHeight="1" x14ac:dyDescent="0.25">
      <c r="A51" s="2">
        <v>49</v>
      </c>
      <c r="B51" s="6" t="s">
        <v>99</v>
      </c>
      <c r="C51" s="6" t="s">
        <v>90</v>
      </c>
      <c r="D51" s="6" t="s">
        <v>16</v>
      </c>
      <c r="E51" s="7">
        <v>43843</v>
      </c>
      <c r="F51" s="7">
        <v>44144</v>
      </c>
      <c r="G51" s="8">
        <v>100</v>
      </c>
      <c r="H51" s="8">
        <v>100</v>
      </c>
      <c r="I51" s="8">
        <v>100</v>
      </c>
      <c r="J51" s="6" t="s">
        <v>18</v>
      </c>
      <c r="K51" s="6" t="s">
        <v>5</v>
      </c>
      <c r="L51" s="7">
        <v>45810</v>
      </c>
    </row>
    <row r="52" spans="1:12" ht="34.9" customHeight="1" x14ac:dyDescent="0.25">
      <c r="A52" s="2">
        <v>50</v>
      </c>
      <c r="B52" s="9" t="s">
        <v>100</v>
      </c>
      <c r="C52" s="9" t="s">
        <v>90</v>
      </c>
      <c r="D52" s="9" t="s">
        <v>16</v>
      </c>
      <c r="E52" s="10">
        <v>43694</v>
      </c>
      <c r="F52" s="10">
        <v>43755</v>
      </c>
      <c r="G52" s="8">
        <v>100</v>
      </c>
      <c r="H52" s="8">
        <v>100</v>
      </c>
      <c r="I52" s="8">
        <v>100</v>
      </c>
      <c r="J52" s="9" t="s">
        <v>4</v>
      </c>
      <c r="K52" s="9" t="s">
        <v>5</v>
      </c>
      <c r="L52" s="9"/>
    </row>
    <row r="53" spans="1:12" ht="34.9" customHeight="1" x14ac:dyDescent="0.25">
      <c r="A53" s="2">
        <v>51</v>
      </c>
      <c r="B53" s="6" t="s">
        <v>102</v>
      </c>
      <c r="C53" s="6" t="s">
        <v>90</v>
      </c>
      <c r="D53" s="6" t="s">
        <v>16</v>
      </c>
      <c r="E53" s="7">
        <v>42926</v>
      </c>
      <c r="F53" s="7">
        <v>45444</v>
      </c>
      <c r="G53" s="8">
        <v>100</v>
      </c>
      <c r="H53" s="8">
        <v>0</v>
      </c>
      <c r="I53" s="8">
        <v>0</v>
      </c>
      <c r="J53" s="6" t="s">
        <v>4</v>
      </c>
      <c r="K53" s="6" t="s">
        <v>5</v>
      </c>
      <c r="L53" s="6"/>
    </row>
    <row r="54" spans="1:12" ht="34.9" customHeight="1" x14ac:dyDescent="0.25">
      <c r="A54" s="2">
        <v>52</v>
      </c>
      <c r="B54" s="9" t="s">
        <v>105</v>
      </c>
      <c r="C54" s="9" t="s">
        <v>90</v>
      </c>
      <c r="D54" s="9" t="s">
        <v>16</v>
      </c>
      <c r="E54" s="10">
        <v>43493</v>
      </c>
      <c r="F54" s="10">
        <v>45444</v>
      </c>
      <c r="G54" s="8">
        <v>100</v>
      </c>
      <c r="H54" s="8">
        <v>0</v>
      </c>
      <c r="I54" s="8">
        <v>0</v>
      </c>
      <c r="J54" s="9" t="s">
        <v>4</v>
      </c>
      <c r="K54" s="9" t="s">
        <v>5</v>
      </c>
      <c r="L54" s="9"/>
    </row>
    <row r="55" spans="1:12" ht="34.9" customHeight="1" x14ac:dyDescent="0.25">
      <c r="A55" s="2">
        <v>53</v>
      </c>
      <c r="B55" s="6" t="s">
        <v>107</v>
      </c>
      <c r="C55" s="6" t="s">
        <v>15</v>
      </c>
      <c r="D55" s="6" t="s">
        <v>16</v>
      </c>
      <c r="E55" s="7">
        <v>39985</v>
      </c>
      <c r="F55" s="7">
        <v>44652</v>
      </c>
      <c r="G55" s="8">
        <v>100</v>
      </c>
      <c r="H55" s="8">
        <v>100</v>
      </c>
      <c r="I55" s="8">
        <v>100</v>
      </c>
      <c r="J55" s="6" t="s">
        <v>4</v>
      </c>
      <c r="K55" s="6" t="s">
        <v>5</v>
      </c>
      <c r="L55" s="6"/>
    </row>
    <row r="56" spans="1:12" ht="34.9" customHeight="1" x14ac:dyDescent="0.25">
      <c r="A56" s="2">
        <v>54</v>
      </c>
      <c r="B56" s="9" t="s">
        <v>109</v>
      </c>
      <c r="C56" s="9" t="s">
        <v>90</v>
      </c>
      <c r="D56" s="9" t="s">
        <v>16</v>
      </c>
      <c r="E56" s="10">
        <v>43403</v>
      </c>
      <c r="F56" s="10">
        <v>44662</v>
      </c>
      <c r="G56" s="8">
        <v>100</v>
      </c>
      <c r="H56" s="8">
        <v>100</v>
      </c>
      <c r="I56" s="8">
        <v>100</v>
      </c>
      <c r="J56" s="9" t="s">
        <v>4</v>
      </c>
      <c r="K56" s="9" t="s">
        <v>5</v>
      </c>
      <c r="L56" s="9"/>
    </row>
    <row r="57" spans="1:12" ht="34.9" customHeight="1" x14ac:dyDescent="0.25">
      <c r="A57" s="2">
        <v>55</v>
      </c>
      <c r="B57" s="6" t="s">
        <v>112</v>
      </c>
      <c r="C57" s="6" t="s">
        <v>90</v>
      </c>
      <c r="D57" s="6" t="s">
        <v>16</v>
      </c>
      <c r="E57" s="7">
        <v>32055</v>
      </c>
      <c r="F57" s="7">
        <v>44151</v>
      </c>
      <c r="G57" s="8">
        <v>100</v>
      </c>
      <c r="H57" s="8">
        <v>100</v>
      </c>
      <c r="I57" s="8">
        <v>100</v>
      </c>
      <c r="J57" s="6" t="s">
        <v>4</v>
      </c>
      <c r="K57" s="6" t="s">
        <v>5</v>
      </c>
      <c r="L57" s="6"/>
    </row>
    <row r="58" spans="1:12" ht="34.9" customHeight="1" x14ac:dyDescent="0.25">
      <c r="A58" s="2">
        <v>56</v>
      </c>
      <c r="B58" s="9" t="s">
        <v>114</v>
      </c>
      <c r="C58" s="9" t="s">
        <v>90</v>
      </c>
      <c r="D58" s="9" t="s">
        <v>16</v>
      </c>
      <c r="E58" s="10">
        <v>43325</v>
      </c>
      <c r="F58" s="10">
        <v>44151</v>
      </c>
      <c r="G58" s="8">
        <v>100</v>
      </c>
      <c r="H58" s="8">
        <v>100</v>
      </c>
      <c r="I58" s="8">
        <v>100</v>
      </c>
      <c r="J58" s="9" t="s">
        <v>4</v>
      </c>
      <c r="K58" s="9" t="s">
        <v>5</v>
      </c>
      <c r="L58" s="9"/>
    </row>
    <row r="59" spans="1:12" ht="34.9" customHeight="1" x14ac:dyDescent="0.25">
      <c r="A59" s="2">
        <v>57</v>
      </c>
      <c r="B59" s="6" t="s">
        <v>117</v>
      </c>
      <c r="C59" s="6" t="s">
        <v>119</v>
      </c>
      <c r="D59" s="6" t="s">
        <v>16</v>
      </c>
      <c r="E59" s="7">
        <v>44419</v>
      </c>
      <c r="F59" s="7">
        <v>45448</v>
      </c>
      <c r="G59" s="8">
        <v>100</v>
      </c>
      <c r="H59" s="8">
        <v>0</v>
      </c>
      <c r="I59" s="8">
        <v>0</v>
      </c>
      <c r="J59" s="6" t="s">
        <v>4</v>
      </c>
      <c r="K59" s="6" t="s">
        <v>5</v>
      </c>
      <c r="L59" s="6"/>
    </row>
    <row r="60" spans="1:12" ht="34.9" customHeight="1" x14ac:dyDescent="0.25">
      <c r="A60" s="2">
        <v>58</v>
      </c>
      <c r="B60" s="9" t="s">
        <v>120</v>
      </c>
      <c r="C60" s="9" t="s">
        <v>119</v>
      </c>
      <c r="D60" s="9" t="s">
        <v>16</v>
      </c>
      <c r="E60" s="10">
        <v>42076</v>
      </c>
      <c r="F60" s="10">
        <v>45448</v>
      </c>
      <c r="G60" s="8">
        <v>100</v>
      </c>
      <c r="H60" s="8">
        <v>0</v>
      </c>
      <c r="I60" s="8">
        <v>0</v>
      </c>
      <c r="J60" s="9" t="s">
        <v>4</v>
      </c>
      <c r="K60" s="9" t="s">
        <v>5</v>
      </c>
      <c r="L60" s="9"/>
    </row>
    <row r="61" spans="1:12" ht="34.9" customHeight="1" x14ac:dyDescent="0.25">
      <c r="A61" s="19">
        <v>59</v>
      </c>
      <c r="B61" s="20" t="s">
        <v>123</v>
      </c>
      <c r="C61" s="20" t="s">
        <v>71</v>
      </c>
      <c r="D61" s="20" t="s">
        <v>16</v>
      </c>
      <c r="E61" s="21">
        <v>40387</v>
      </c>
      <c r="F61" s="21">
        <v>42186</v>
      </c>
      <c r="G61" s="22">
        <v>0</v>
      </c>
      <c r="H61" s="22">
        <v>0</v>
      </c>
      <c r="I61" s="22">
        <v>0</v>
      </c>
      <c r="J61" s="20"/>
      <c r="K61" s="20" t="s">
        <v>5</v>
      </c>
      <c r="L61" s="21">
        <v>45444</v>
      </c>
    </row>
    <row r="62" spans="1:12" ht="34.9" customHeight="1" x14ac:dyDescent="0.25">
      <c r="A62" s="23">
        <v>60</v>
      </c>
      <c r="B62" s="24" t="s">
        <v>124</v>
      </c>
      <c r="C62" s="24" t="s">
        <v>15</v>
      </c>
      <c r="D62" s="24" t="s">
        <v>16</v>
      </c>
      <c r="E62" s="25">
        <v>39181</v>
      </c>
      <c r="F62" s="25">
        <v>42193</v>
      </c>
      <c r="G62" s="26">
        <v>0</v>
      </c>
      <c r="H62" s="26">
        <v>0</v>
      </c>
      <c r="I62" s="26">
        <v>0</v>
      </c>
      <c r="J62" s="24"/>
      <c r="K62" s="24" t="s">
        <v>5</v>
      </c>
      <c r="L62" s="25">
        <v>45444</v>
      </c>
    </row>
    <row r="63" spans="1:12" ht="34.9" customHeight="1" x14ac:dyDescent="0.25">
      <c r="A63" s="27">
        <v>61</v>
      </c>
      <c r="B63" s="28" t="s">
        <v>125</v>
      </c>
      <c r="C63" s="28" t="s">
        <v>15</v>
      </c>
      <c r="D63" s="28" t="s">
        <v>16</v>
      </c>
      <c r="E63" s="29">
        <v>39923</v>
      </c>
      <c r="F63" s="29">
        <v>42530</v>
      </c>
      <c r="G63" s="30">
        <v>0</v>
      </c>
      <c r="H63" s="30">
        <v>0</v>
      </c>
      <c r="I63" s="30">
        <v>0</v>
      </c>
      <c r="J63" s="28"/>
      <c r="K63" s="28" t="s">
        <v>5</v>
      </c>
      <c r="L63" s="29">
        <v>45446</v>
      </c>
    </row>
    <row r="64" spans="1:12" ht="34.9" customHeight="1" x14ac:dyDescent="0.25">
      <c r="A64" s="27">
        <v>62</v>
      </c>
      <c r="B64" s="28" t="s">
        <v>126</v>
      </c>
      <c r="C64" s="28" t="s">
        <v>15</v>
      </c>
      <c r="D64" s="28" t="s">
        <v>16</v>
      </c>
      <c r="E64" s="29">
        <v>39706</v>
      </c>
      <c r="F64" s="29">
        <v>42530</v>
      </c>
      <c r="G64" s="30">
        <v>0</v>
      </c>
      <c r="H64" s="30">
        <v>0</v>
      </c>
      <c r="I64" s="30">
        <v>0</v>
      </c>
      <c r="J64" s="28"/>
      <c r="K64" s="28" t="s">
        <v>5</v>
      </c>
      <c r="L64" s="29">
        <v>45474</v>
      </c>
    </row>
    <row r="65" spans="1:12" ht="34.9" customHeight="1" x14ac:dyDescent="0.25">
      <c r="A65" s="19">
        <v>63</v>
      </c>
      <c r="B65" s="20" t="s">
        <v>127</v>
      </c>
      <c r="C65" s="20" t="s">
        <v>71</v>
      </c>
      <c r="D65" s="20" t="s">
        <v>16</v>
      </c>
      <c r="E65" s="21">
        <v>38609</v>
      </c>
      <c r="F65" s="21">
        <v>42887</v>
      </c>
      <c r="G65" s="22">
        <v>0</v>
      </c>
      <c r="H65" s="22">
        <v>0</v>
      </c>
      <c r="I65" s="22">
        <v>0</v>
      </c>
      <c r="J65" s="20"/>
      <c r="K65" s="20" t="s">
        <v>5</v>
      </c>
      <c r="L65" s="21">
        <v>45472</v>
      </c>
    </row>
    <row r="66" spans="1:12" ht="34.9" customHeight="1" x14ac:dyDescent="0.25">
      <c r="A66" s="2">
        <v>64</v>
      </c>
      <c r="B66" s="9" t="s">
        <v>128</v>
      </c>
      <c r="C66" s="9" t="s">
        <v>71</v>
      </c>
      <c r="D66" s="9" t="s">
        <v>16</v>
      </c>
      <c r="E66" s="10">
        <v>40794</v>
      </c>
      <c r="F66" s="10">
        <v>43617</v>
      </c>
      <c r="G66" s="8">
        <v>0</v>
      </c>
      <c r="H66" s="8">
        <v>100</v>
      </c>
      <c r="I66" s="8">
        <v>100</v>
      </c>
      <c r="J66" s="9" t="s">
        <v>18</v>
      </c>
      <c r="K66" s="9" t="s">
        <v>5</v>
      </c>
      <c r="L66" s="10">
        <v>45444</v>
      </c>
    </row>
    <row r="67" spans="1:12" ht="34.9" customHeight="1" x14ac:dyDescent="0.25">
      <c r="A67" s="2">
        <v>65</v>
      </c>
      <c r="B67" s="6" t="s">
        <v>129</v>
      </c>
      <c r="C67" s="6" t="s">
        <v>130</v>
      </c>
      <c r="D67" s="6" t="s">
        <v>16</v>
      </c>
      <c r="E67" s="7">
        <v>44599</v>
      </c>
      <c r="F67" s="7">
        <v>44652</v>
      </c>
      <c r="G67" s="8">
        <v>0</v>
      </c>
      <c r="H67" s="36">
        <v>100</v>
      </c>
      <c r="I67" s="8">
        <v>100</v>
      </c>
      <c r="J67" s="6" t="s">
        <v>18</v>
      </c>
      <c r="K67" s="6" t="s">
        <v>5</v>
      </c>
      <c r="L67" s="7">
        <v>45444</v>
      </c>
    </row>
    <row r="68" spans="1:12" ht="34.9" customHeight="1" x14ac:dyDescent="0.25">
      <c r="A68" s="19">
        <v>66</v>
      </c>
      <c r="B68" s="20" t="s">
        <v>132</v>
      </c>
      <c r="C68" s="20" t="s">
        <v>71</v>
      </c>
      <c r="D68" s="20" t="s">
        <v>16</v>
      </c>
      <c r="E68" s="21">
        <v>42051</v>
      </c>
      <c r="F68" s="21">
        <v>43617</v>
      </c>
      <c r="G68" s="22">
        <v>0</v>
      </c>
      <c r="H68" s="22">
        <v>0</v>
      </c>
      <c r="I68" s="22">
        <v>0</v>
      </c>
      <c r="J68" s="20"/>
      <c r="K68" s="20" t="s">
        <v>5</v>
      </c>
      <c r="L68" s="21">
        <v>45475</v>
      </c>
    </row>
    <row r="69" spans="1:12" ht="34.9" customHeight="1" x14ac:dyDescent="0.25">
      <c r="A69" s="2">
        <v>67</v>
      </c>
      <c r="B69" s="6" t="s">
        <v>133</v>
      </c>
      <c r="C69" s="6" t="s">
        <v>1</v>
      </c>
      <c r="D69" s="6" t="s">
        <v>3</v>
      </c>
      <c r="E69" s="7">
        <v>44887</v>
      </c>
      <c r="F69" s="7">
        <v>45469</v>
      </c>
      <c r="G69" s="8">
        <v>100</v>
      </c>
      <c r="H69" s="8">
        <v>0</v>
      </c>
      <c r="I69" s="8">
        <v>0</v>
      </c>
      <c r="J69" s="6" t="s">
        <v>4</v>
      </c>
      <c r="K69" s="6" t="s">
        <v>5</v>
      </c>
      <c r="L69" s="6"/>
    </row>
    <row r="70" spans="1:12" ht="34.9" customHeight="1" x14ac:dyDescent="0.25">
      <c r="A70" s="2">
        <v>68</v>
      </c>
      <c r="B70" s="9" t="s">
        <v>135</v>
      </c>
      <c r="C70" s="9" t="s">
        <v>15</v>
      </c>
      <c r="D70" s="9" t="s">
        <v>16</v>
      </c>
      <c r="E70" s="10">
        <v>41607</v>
      </c>
      <c r="F70" s="10">
        <v>44685</v>
      </c>
      <c r="G70" s="8">
        <v>0</v>
      </c>
      <c r="H70" s="8">
        <v>0</v>
      </c>
      <c r="I70" s="8">
        <v>100</v>
      </c>
      <c r="J70" s="9" t="s">
        <v>18</v>
      </c>
      <c r="K70" s="9" t="s">
        <v>5</v>
      </c>
      <c r="L70" s="10">
        <v>45078</v>
      </c>
    </row>
    <row r="71" spans="1:12" ht="34.9" customHeight="1" x14ac:dyDescent="0.25">
      <c r="A71" s="2">
        <v>69</v>
      </c>
      <c r="B71" s="6" t="s">
        <v>136</v>
      </c>
      <c r="C71" s="6" t="s">
        <v>90</v>
      </c>
      <c r="D71" s="6" t="s">
        <v>16</v>
      </c>
      <c r="E71" s="7">
        <v>42166</v>
      </c>
      <c r="F71" s="7">
        <v>43796</v>
      </c>
      <c r="G71" s="8">
        <v>100</v>
      </c>
      <c r="H71" s="8">
        <v>100</v>
      </c>
      <c r="I71" s="8">
        <v>100</v>
      </c>
      <c r="J71" s="6" t="s">
        <v>4</v>
      </c>
      <c r="K71" s="6" t="s">
        <v>5</v>
      </c>
      <c r="L71" s="6"/>
    </row>
    <row r="72" spans="1:12" ht="34.9" customHeight="1" x14ac:dyDescent="0.25">
      <c r="A72" s="2">
        <v>70</v>
      </c>
      <c r="B72" s="9" t="s">
        <v>138</v>
      </c>
      <c r="C72" s="9" t="s">
        <v>90</v>
      </c>
      <c r="D72" s="9" t="s">
        <v>16</v>
      </c>
      <c r="E72" s="10">
        <v>42809</v>
      </c>
      <c r="F72" s="10">
        <v>44720</v>
      </c>
      <c r="G72" s="8">
        <v>100</v>
      </c>
      <c r="H72" s="8">
        <v>100</v>
      </c>
      <c r="I72" s="8">
        <v>100</v>
      </c>
      <c r="J72" s="9" t="s">
        <v>4</v>
      </c>
      <c r="K72" s="9" t="s">
        <v>5</v>
      </c>
      <c r="L72" s="9"/>
    </row>
    <row r="73" spans="1:12" ht="34.9" customHeight="1" x14ac:dyDescent="0.25">
      <c r="A73" s="2">
        <v>71</v>
      </c>
      <c r="B73" s="6" t="s">
        <v>140</v>
      </c>
      <c r="C73" s="6" t="s">
        <v>90</v>
      </c>
      <c r="D73" s="6" t="s">
        <v>16</v>
      </c>
      <c r="E73" s="7">
        <v>43755</v>
      </c>
      <c r="F73" s="7">
        <v>44736</v>
      </c>
      <c r="G73" s="8">
        <v>100</v>
      </c>
      <c r="H73" s="8">
        <v>100</v>
      </c>
      <c r="I73" s="8">
        <v>100</v>
      </c>
      <c r="J73" s="6" t="s">
        <v>4</v>
      </c>
      <c r="K73" s="6" t="s">
        <v>5</v>
      </c>
      <c r="L73" s="6"/>
    </row>
    <row r="74" spans="1:12" ht="34.9" customHeight="1" x14ac:dyDescent="0.25">
      <c r="A74" s="2">
        <v>72</v>
      </c>
      <c r="B74" s="9" t="s">
        <v>142</v>
      </c>
      <c r="C74" s="9" t="s">
        <v>90</v>
      </c>
      <c r="D74" s="9" t="s">
        <v>16</v>
      </c>
      <c r="E74" s="10">
        <v>41786</v>
      </c>
      <c r="F74" s="10">
        <v>42891</v>
      </c>
      <c r="G74" s="8">
        <v>100</v>
      </c>
      <c r="H74" s="8">
        <v>100</v>
      </c>
      <c r="I74" s="8">
        <v>100</v>
      </c>
      <c r="J74" s="9" t="s">
        <v>4</v>
      </c>
      <c r="K74" s="9" t="s">
        <v>5</v>
      </c>
      <c r="L74" s="9"/>
    </row>
    <row r="75" spans="1:12" ht="34.9" customHeight="1" x14ac:dyDescent="0.25">
      <c r="A75" s="2">
        <v>73</v>
      </c>
      <c r="B75" s="6" t="s">
        <v>144</v>
      </c>
      <c r="C75" s="6" t="s">
        <v>15</v>
      </c>
      <c r="D75" s="6" t="s">
        <v>16</v>
      </c>
      <c r="E75" s="7">
        <v>39367</v>
      </c>
      <c r="F75" s="7">
        <v>45494</v>
      </c>
      <c r="G75" s="8">
        <v>100</v>
      </c>
      <c r="H75" s="8">
        <v>0</v>
      </c>
      <c r="I75" s="8">
        <v>0</v>
      </c>
      <c r="J75" s="6" t="s">
        <v>4</v>
      </c>
      <c r="K75" s="6" t="s">
        <v>5</v>
      </c>
      <c r="L75" s="6"/>
    </row>
    <row r="76" spans="1:12" ht="34.9" customHeight="1" x14ac:dyDescent="0.25">
      <c r="A76" s="2">
        <v>74</v>
      </c>
      <c r="B76" s="9" t="s">
        <v>146</v>
      </c>
      <c r="C76" s="9" t="s">
        <v>119</v>
      </c>
      <c r="D76" s="9" t="s">
        <v>16</v>
      </c>
      <c r="E76" s="10">
        <v>40085</v>
      </c>
      <c r="F76" s="10">
        <v>44739</v>
      </c>
      <c r="G76" s="8">
        <v>100</v>
      </c>
      <c r="H76" s="8">
        <v>100</v>
      </c>
      <c r="I76" s="8">
        <v>100</v>
      </c>
      <c r="J76" s="9" t="s">
        <v>4</v>
      </c>
      <c r="K76" s="9" t="s">
        <v>5</v>
      </c>
      <c r="L76" s="9"/>
    </row>
    <row r="77" spans="1:12" ht="34.9" customHeight="1" x14ac:dyDescent="0.25">
      <c r="A77" s="2">
        <v>75</v>
      </c>
      <c r="B77" s="6" t="s">
        <v>148</v>
      </c>
      <c r="C77" s="6" t="s">
        <v>15</v>
      </c>
      <c r="D77" s="6" t="s">
        <v>16</v>
      </c>
      <c r="E77" s="7">
        <v>40663</v>
      </c>
      <c r="F77" s="7">
        <v>45129</v>
      </c>
      <c r="G77" s="8">
        <v>100</v>
      </c>
      <c r="H77" s="8">
        <v>100</v>
      </c>
      <c r="I77" s="8">
        <v>0</v>
      </c>
      <c r="J77" s="6" t="s">
        <v>4</v>
      </c>
      <c r="K77" s="6" t="s">
        <v>5</v>
      </c>
      <c r="L77" s="6"/>
    </row>
    <row r="78" spans="1:12" ht="34.9" customHeight="1" x14ac:dyDescent="0.25">
      <c r="A78" s="2">
        <v>76</v>
      </c>
      <c r="B78" s="9" t="s">
        <v>150</v>
      </c>
      <c r="C78" s="9" t="s">
        <v>15</v>
      </c>
      <c r="D78" s="9" t="s">
        <v>16</v>
      </c>
      <c r="E78" s="10">
        <v>40308</v>
      </c>
      <c r="F78" s="10">
        <v>44733</v>
      </c>
      <c r="G78" s="8">
        <v>100</v>
      </c>
      <c r="H78" s="8">
        <v>100</v>
      </c>
      <c r="I78" s="8">
        <v>100</v>
      </c>
      <c r="J78" s="9" t="s">
        <v>4</v>
      </c>
      <c r="K78" s="9" t="s">
        <v>5</v>
      </c>
      <c r="L78" s="9"/>
    </row>
    <row r="79" spans="1:12" ht="34.9" customHeight="1" x14ac:dyDescent="0.25">
      <c r="A79" s="2">
        <v>77</v>
      </c>
      <c r="B79" s="6" t="s">
        <v>152</v>
      </c>
      <c r="C79" s="6" t="s">
        <v>90</v>
      </c>
      <c r="D79" s="6" t="s">
        <v>16</v>
      </c>
      <c r="E79" s="7">
        <v>45134</v>
      </c>
      <c r="F79" s="7">
        <v>45138</v>
      </c>
      <c r="G79" s="8">
        <v>100</v>
      </c>
      <c r="H79" s="8">
        <v>100</v>
      </c>
      <c r="I79" s="8">
        <v>0</v>
      </c>
      <c r="J79" s="6" t="s">
        <v>4</v>
      </c>
      <c r="K79" s="6" t="s">
        <v>5</v>
      </c>
      <c r="L79" s="6"/>
    </row>
    <row r="80" spans="1:12" ht="34.9" customHeight="1" x14ac:dyDescent="0.25">
      <c r="A80" s="2">
        <v>78</v>
      </c>
      <c r="B80" s="9" t="s">
        <v>154</v>
      </c>
      <c r="C80" s="9" t="s">
        <v>130</v>
      </c>
      <c r="D80" s="9" t="s">
        <v>16</v>
      </c>
      <c r="E80" s="10">
        <v>45463</v>
      </c>
      <c r="F80" s="10">
        <v>44713</v>
      </c>
      <c r="G80" s="8">
        <v>100</v>
      </c>
      <c r="H80" s="8">
        <v>100</v>
      </c>
      <c r="I80" s="8">
        <v>100</v>
      </c>
      <c r="J80" s="9" t="s">
        <v>4</v>
      </c>
      <c r="K80" s="9" t="s">
        <v>5</v>
      </c>
      <c r="L80" s="9"/>
    </row>
    <row r="81" spans="1:12" ht="34.9" customHeight="1" x14ac:dyDescent="0.25">
      <c r="A81" s="2">
        <v>79</v>
      </c>
      <c r="B81" s="6" t="s">
        <v>156</v>
      </c>
      <c r="C81" s="6" t="s">
        <v>90</v>
      </c>
      <c r="D81" s="6" t="s">
        <v>16</v>
      </c>
      <c r="E81" s="7">
        <v>43207</v>
      </c>
      <c r="F81" s="7">
        <v>45504</v>
      </c>
      <c r="G81" s="8">
        <v>100</v>
      </c>
      <c r="H81" s="8">
        <v>0</v>
      </c>
      <c r="I81" s="8">
        <v>0</v>
      </c>
      <c r="J81" s="6" t="s">
        <v>4</v>
      </c>
      <c r="K81" s="6" t="s">
        <v>5</v>
      </c>
      <c r="L81" s="6"/>
    </row>
    <row r="82" spans="1:12" ht="34.9" customHeight="1" x14ac:dyDescent="0.25">
      <c r="A82" s="2">
        <v>80</v>
      </c>
      <c r="B82" s="6" t="s">
        <v>176</v>
      </c>
      <c r="C82" s="6" t="s">
        <v>174</v>
      </c>
      <c r="D82" s="6" t="s">
        <v>16</v>
      </c>
      <c r="E82" s="7">
        <v>42252</v>
      </c>
      <c r="F82" s="7">
        <v>39614</v>
      </c>
      <c r="G82" s="8">
        <v>100</v>
      </c>
      <c r="H82" s="8">
        <v>100</v>
      </c>
      <c r="I82" s="8">
        <v>100</v>
      </c>
      <c r="J82" s="6" t="s">
        <v>175</v>
      </c>
      <c r="K82" s="6" t="s">
        <v>5</v>
      </c>
      <c r="L82" s="6"/>
    </row>
    <row r="83" spans="1:12" ht="34.9" customHeight="1" x14ac:dyDescent="0.25">
      <c r="A83" s="2">
        <v>81</v>
      </c>
      <c r="B83" s="11" t="s">
        <v>177</v>
      </c>
      <c r="C83" s="11" t="s">
        <v>178</v>
      </c>
      <c r="D83" s="11" t="s">
        <v>3</v>
      </c>
      <c r="E83" s="12">
        <v>42447</v>
      </c>
      <c r="F83" s="12">
        <v>44762</v>
      </c>
      <c r="G83" s="11">
        <v>0</v>
      </c>
      <c r="H83" s="11">
        <v>100</v>
      </c>
      <c r="I83" s="11">
        <v>100</v>
      </c>
      <c r="J83" s="11" t="s">
        <v>18</v>
      </c>
      <c r="K83" s="11" t="s">
        <v>5</v>
      </c>
      <c r="L83" s="12">
        <v>45475</v>
      </c>
    </row>
    <row r="84" spans="1:12" ht="34.9" customHeight="1" x14ac:dyDescent="0.25">
      <c r="A84" s="2"/>
      <c r="B84" s="11"/>
      <c r="C84" s="11"/>
      <c r="D84" s="11"/>
      <c r="E84" s="11"/>
      <c r="F84" s="11"/>
      <c r="G84" s="11">
        <f>COUNTIF(G3:G83, "100")</f>
        <v>61</v>
      </c>
      <c r="H84" s="11">
        <f>COUNTIF(H3:H83, "100")</f>
        <v>56</v>
      </c>
      <c r="I84" s="11">
        <f>COUNTIF(I3:I83, "100")</f>
        <v>50</v>
      </c>
      <c r="J84" s="11">
        <f>COUNTIF(J3:J83, "YES")</f>
        <v>55</v>
      </c>
      <c r="K84" s="11"/>
      <c r="L84" s="11"/>
    </row>
  </sheetData>
  <mergeCells count="1">
    <mergeCell ref="A1:L1"/>
  </mergeCells>
  <conditionalFormatting sqref="G3:I1048576 G1:I1 F2:H2">
    <cfRule type="containsText" dxfId="6" priority="4" operator="containsText" text="100">
      <formula>NOT(ISERROR(SEARCH("100",F1)))</formula>
    </cfRule>
  </conditionalFormatting>
  <conditionalFormatting sqref="H67">
    <cfRule type="containsText" dxfId="5" priority="2" operator="containsText" text="100">
      <formula>NOT(ISERROR(SEARCH("100",H67)))</formula>
    </cfRule>
  </conditionalFormatting>
  <conditionalFormatting sqref="H83">
    <cfRule type="containsText" dxfId="4" priority="1" operator="containsText" text="100">
      <formula>NOT(ISERROR(SEARCH("100",H83)))</formula>
    </cfRule>
  </conditionalFormatting>
  <conditionalFormatting sqref="H14:I14">
    <cfRule type="containsText" dxfId="3" priority="3" operator="containsText" text="100">
      <formula>NOT(ISERROR(SEARCH("100",H14)))</formula>
    </cfRule>
  </conditionalFormatting>
  <conditionalFormatting sqref="J3:J82">
    <cfRule type="containsText" dxfId="2" priority="5" operator="containsText" text="NO">
      <formula>NOT(ISERROR(SEARCH("NO",J3)))</formula>
    </cfRule>
  </conditionalFormatting>
  <conditionalFormatting sqref="J84">
    <cfRule type="containsText" dxfId="1" priority="6" operator="containsText" text="100">
      <formula>NOT(ISERROR(SEARCH("100",J84)))</formula>
    </cfRule>
  </conditionalFormatting>
  <pageMargins left="0.7" right="0.7" top="0.75" bottom="0.75" header="0.3" footer="0.3"/>
  <pageSetup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BC758F-83BC-437E-A617-EE08A171D4D7}">
  <dimension ref="A2:H5"/>
  <sheetViews>
    <sheetView workbookViewId="0">
      <selection activeCell="E22" sqref="E22"/>
    </sheetView>
  </sheetViews>
  <sheetFormatPr defaultRowHeight="15" x14ac:dyDescent="0.25"/>
  <cols>
    <col min="2" max="2" width="14.85546875" customWidth="1"/>
    <col min="3" max="3" width="12.5703125" customWidth="1"/>
    <col min="5" max="5" width="10.7109375" customWidth="1"/>
    <col min="6" max="6" width="11.42578125" customWidth="1"/>
    <col min="7" max="7" width="11.5703125" customWidth="1"/>
    <col min="8" max="8" width="11" customWidth="1"/>
  </cols>
  <sheetData>
    <row r="2" spans="1:8" ht="30" x14ac:dyDescent="0.25">
      <c r="A2" s="3" t="s">
        <v>159</v>
      </c>
      <c r="B2" s="3" t="s">
        <v>160</v>
      </c>
      <c r="C2" s="3" t="s">
        <v>161</v>
      </c>
      <c r="D2" s="3" t="s">
        <v>162</v>
      </c>
      <c r="E2" s="3" t="s">
        <v>163</v>
      </c>
      <c r="F2" s="3" t="s">
        <v>164</v>
      </c>
      <c r="G2" s="3" t="s">
        <v>165</v>
      </c>
      <c r="H2" s="3" t="s">
        <v>166</v>
      </c>
    </row>
    <row r="3" spans="1:8" ht="60" x14ac:dyDescent="0.25">
      <c r="A3" s="2">
        <v>1</v>
      </c>
      <c r="B3" s="6" t="s">
        <v>176</v>
      </c>
      <c r="C3" s="6" t="s">
        <v>173</v>
      </c>
      <c r="D3" s="6" t="s">
        <v>178</v>
      </c>
      <c r="E3" s="7">
        <v>42252</v>
      </c>
      <c r="F3" s="6" t="s">
        <v>179</v>
      </c>
      <c r="G3" s="6" t="s">
        <v>3</v>
      </c>
      <c r="H3" s="7">
        <v>39614</v>
      </c>
    </row>
    <row r="4" spans="1:8" ht="60" x14ac:dyDescent="0.25">
      <c r="A4" s="2">
        <v>2</v>
      </c>
      <c r="B4" s="2" t="s">
        <v>203</v>
      </c>
      <c r="C4" s="2" t="s">
        <v>204</v>
      </c>
      <c r="D4" s="2" t="s">
        <v>174</v>
      </c>
      <c r="E4" s="38">
        <v>43308</v>
      </c>
      <c r="F4" s="2" t="s">
        <v>179</v>
      </c>
      <c r="G4" s="6" t="s">
        <v>3</v>
      </c>
      <c r="H4" s="38">
        <v>45579</v>
      </c>
    </row>
    <row r="5" spans="1:8" ht="45" x14ac:dyDescent="0.25">
      <c r="A5" s="2">
        <v>3</v>
      </c>
      <c r="B5" s="2" t="s">
        <v>205</v>
      </c>
      <c r="C5" s="2" t="s">
        <v>206</v>
      </c>
      <c r="D5" s="2" t="s">
        <v>207</v>
      </c>
      <c r="E5" s="38">
        <v>42601</v>
      </c>
      <c r="F5" s="2" t="s">
        <v>179</v>
      </c>
      <c r="G5" s="6" t="s">
        <v>16</v>
      </c>
      <c r="H5" s="38">
        <v>44368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92CB53-523E-4EB9-9559-24E6898DA9C6}">
  <dimension ref="A2:H4"/>
  <sheetViews>
    <sheetView workbookViewId="0">
      <selection activeCell="C32" sqref="C32"/>
    </sheetView>
  </sheetViews>
  <sheetFormatPr defaultRowHeight="15" x14ac:dyDescent="0.25"/>
  <cols>
    <col min="2" max="2" width="26.85546875" customWidth="1"/>
    <col min="3" max="3" width="14.85546875" customWidth="1"/>
    <col min="5" max="5" width="11.7109375" customWidth="1"/>
    <col min="8" max="8" width="13.7109375" customWidth="1"/>
  </cols>
  <sheetData>
    <row r="2" spans="1:8" ht="30" x14ac:dyDescent="0.25">
      <c r="A2" s="3" t="s">
        <v>159</v>
      </c>
      <c r="B2" s="3" t="s">
        <v>160</v>
      </c>
      <c r="C2" s="3" t="s">
        <v>161</v>
      </c>
      <c r="D2" s="3" t="s">
        <v>162</v>
      </c>
      <c r="E2" s="3" t="s">
        <v>163</v>
      </c>
      <c r="F2" s="3" t="s">
        <v>164</v>
      </c>
      <c r="G2" s="3" t="s">
        <v>165</v>
      </c>
      <c r="H2" s="3" t="s">
        <v>166</v>
      </c>
    </row>
    <row r="3" spans="1:8" ht="45" x14ac:dyDescent="0.25">
      <c r="A3" s="2">
        <v>1</v>
      </c>
      <c r="B3" s="6" t="s">
        <v>154</v>
      </c>
      <c r="C3" s="6" t="s">
        <v>155</v>
      </c>
      <c r="D3" s="6" t="s">
        <v>130</v>
      </c>
      <c r="E3" s="7">
        <v>45463</v>
      </c>
      <c r="F3" s="6" t="s">
        <v>131</v>
      </c>
      <c r="G3" s="6" t="s">
        <v>16</v>
      </c>
      <c r="H3" s="7">
        <v>44713</v>
      </c>
    </row>
    <row r="4" spans="1:8" ht="45" x14ac:dyDescent="0.25">
      <c r="A4" s="2">
        <v>2</v>
      </c>
      <c r="B4" s="2" t="s">
        <v>215</v>
      </c>
      <c r="C4" s="2" t="s">
        <v>216</v>
      </c>
      <c r="D4" s="2" t="s">
        <v>217</v>
      </c>
      <c r="E4" s="38">
        <v>45469</v>
      </c>
      <c r="F4" s="2" t="s">
        <v>131</v>
      </c>
      <c r="G4" s="6" t="s">
        <v>16</v>
      </c>
      <c r="H4" s="38">
        <v>45925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3132CD-5221-4936-9230-D847B0804F80}">
  <dimension ref="A2:H9"/>
  <sheetViews>
    <sheetView workbookViewId="0">
      <selection activeCell="E17" sqref="E17"/>
    </sheetView>
  </sheetViews>
  <sheetFormatPr defaultRowHeight="15" x14ac:dyDescent="0.25"/>
  <cols>
    <col min="1" max="1" width="6.140625" customWidth="1"/>
    <col min="2" max="2" width="17.5703125" customWidth="1"/>
    <col min="3" max="3" width="12.85546875" customWidth="1"/>
    <col min="5" max="5" width="12.5703125" customWidth="1"/>
    <col min="6" max="6" width="12.7109375" customWidth="1"/>
    <col min="8" max="8" width="11.28515625" customWidth="1"/>
  </cols>
  <sheetData>
    <row r="2" spans="1:8" ht="30" x14ac:dyDescent="0.25">
      <c r="A2" s="3" t="s">
        <v>159</v>
      </c>
      <c r="B2" s="3" t="s">
        <v>160</v>
      </c>
      <c r="C2" s="3" t="s">
        <v>161</v>
      </c>
      <c r="D2" s="3" t="s">
        <v>162</v>
      </c>
      <c r="E2" s="3" t="s">
        <v>163</v>
      </c>
      <c r="F2" s="3" t="s">
        <v>164</v>
      </c>
      <c r="G2" s="3" t="s">
        <v>165</v>
      </c>
      <c r="H2" s="3" t="s">
        <v>166</v>
      </c>
    </row>
    <row r="3" spans="1:8" ht="30" x14ac:dyDescent="0.25">
      <c r="A3" s="2">
        <v>1</v>
      </c>
      <c r="B3" s="2" t="s">
        <v>193</v>
      </c>
      <c r="C3" s="2" t="s">
        <v>194</v>
      </c>
      <c r="D3" s="2" t="s">
        <v>178</v>
      </c>
      <c r="E3" s="38">
        <v>39615</v>
      </c>
      <c r="F3" s="2" t="s">
        <v>96</v>
      </c>
      <c r="G3" s="6" t="s">
        <v>195</v>
      </c>
      <c r="H3" s="38">
        <v>45785</v>
      </c>
    </row>
    <row r="4" spans="1:8" ht="45" x14ac:dyDescent="0.25">
      <c r="A4" s="2">
        <v>2</v>
      </c>
      <c r="B4" s="9" t="s">
        <v>100</v>
      </c>
      <c r="C4" s="9" t="s">
        <v>101</v>
      </c>
      <c r="D4" s="9" t="s">
        <v>90</v>
      </c>
      <c r="E4" s="10">
        <v>43694</v>
      </c>
      <c r="F4" s="9" t="s">
        <v>96</v>
      </c>
      <c r="G4" s="9" t="s">
        <v>16</v>
      </c>
      <c r="H4" s="10">
        <v>43755</v>
      </c>
    </row>
    <row r="5" spans="1:8" ht="45" x14ac:dyDescent="0.25">
      <c r="A5" s="2">
        <v>3</v>
      </c>
      <c r="B5" s="9" t="s">
        <v>152</v>
      </c>
      <c r="C5" s="9" t="s">
        <v>153</v>
      </c>
      <c r="D5" s="9" t="s">
        <v>90</v>
      </c>
      <c r="E5" s="10">
        <v>45134</v>
      </c>
      <c r="F5" s="9" t="s">
        <v>96</v>
      </c>
      <c r="G5" s="9" t="s">
        <v>16</v>
      </c>
      <c r="H5" s="10">
        <v>45138</v>
      </c>
    </row>
    <row r="6" spans="1:8" ht="45" x14ac:dyDescent="0.25">
      <c r="A6" s="2">
        <v>4</v>
      </c>
      <c r="B6" s="9" t="s">
        <v>156</v>
      </c>
      <c r="C6" s="9" t="s">
        <v>157</v>
      </c>
      <c r="D6" s="9" t="s">
        <v>90</v>
      </c>
      <c r="E6" s="10">
        <v>43207</v>
      </c>
      <c r="F6" s="9" t="s">
        <v>96</v>
      </c>
      <c r="G6" s="9" t="s">
        <v>16</v>
      </c>
      <c r="H6" s="10">
        <v>45504</v>
      </c>
    </row>
    <row r="7" spans="1:8" ht="45" x14ac:dyDescent="0.25">
      <c r="A7" s="2">
        <v>5</v>
      </c>
      <c r="B7" s="2" t="s">
        <v>196</v>
      </c>
      <c r="C7" s="2" t="s">
        <v>197</v>
      </c>
      <c r="D7" s="2" t="s">
        <v>90</v>
      </c>
      <c r="E7" s="38">
        <v>42659</v>
      </c>
      <c r="F7" s="2" t="s">
        <v>96</v>
      </c>
      <c r="G7" s="6" t="s">
        <v>16</v>
      </c>
      <c r="H7" s="38">
        <v>45831</v>
      </c>
    </row>
    <row r="8" spans="1:8" ht="45" x14ac:dyDescent="0.25">
      <c r="A8" s="2">
        <v>6</v>
      </c>
      <c r="B8" s="6" t="s">
        <v>102</v>
      </c>
      <c r="C8" s="6" t="s">
        <v>103</v>
      </c>
      <c r="D8" s="6" t="s">
        <v>90</v>
      </c>
      <c r="E8" s="7">
        <v>42926</v>
      </c>
      <c r="F8" s="2" t="s">
        <v>96</v>
      </c>
      <c r="G8" s="6" t="s">
        <v>16</v>
      </c>
      <c r="H8" s="7">
        <v>45444</v>
      </c>
    </row>
    <row r="9" spans="1:8" ht="45" x14ac:dyDescent="0.25">
      <c r="A9" s="2">
        <v>7</v>
      </c>
      <c r="B9" s="9" t="s">
        <v>105</v>
      </c>
      <c r="C9" s="9" t="s">
        <v>106</v>
      </c>
      <c r="D9" s="9" t="s">
        <v>90</v>
      </c>
      <c r="E9" s="10">
        <v>43493</v>
      </c>
      <c r="F9" s="2" t="s">
        <v>96</v>
      </c>
      <c r="G9" s="9" t="s">
        <v>16</v>
      </c>
      <c r="H9" s="10">
        <v>45444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721757-34EB-4683-BEC1-B2F5F2423E29}">
  <dimension ref="A3:H5"/>
  <sheetViews>
    <sheetView workbookViewId="0">
      <selection activeCell="K10" sqref="K10"/>
    </sheetView>
  </sheetViews>
  <sheetFormatPr defaultRowHeight="15" x14ac:dyDescent="0.25"/>
  <cols>
    <col min="1" max="1" width="6.42578125" customWidth="1"/>
    <col min="2" max="2" width="21.28515625" customWidth="1"/>
    <col min="3" max="3" width="14.28515625" customWidth="1"/>
    <col min="5" max="5" width="13.28515625" customWidth="1"/>
    <col min="6" max="6" width="13.85546875" customWidth="1"/>
    <col min="8" max="8" width="13.28515625" customWidth="1"/>
  </cols>
  <sheetData>
    <row r="3" spans="1:8" ht="30" x14ac:dyDescent="0.25">
      <c r="A3" s="3" t="s">
        <v>159</v>
      </c>
      <c r="B3" s="3" t="s">
        <v>160</v>
      </c>
      <c r="C3" s="3" t="s">
        <v>161</v>
      </c>
      <c r="D3" s="3" t="s">
        <v>162</v>
      </c>
      <c r="E3" s="3" t="s">
        <v>163</v>
      </c>
      <c r="F3" s="3" t="s">
        <v>164</v>
      </c>
      <c r="G3" s="3" t="s">
        <v>165</v>
      </c>
      <c r="H3" s="3" t="s">
        <v>166</v>
      </c>
    </row>
    <row r="4" spans="1:8" ht="90" x14ac:dyDescent="0.25">
      <c r="A4" s="2">
        <v>1</v>
      </c>
      <c r="B4" s="9" t="s">
        <v>88</v>
      </c>
      <c r="C4" s="9" t="s">
        <v>89</v>
      </c>
      <c r="D4" s="9" t="s">
        <v>90</v>
      </c>
      <c r="E4" s="10">
        <v>42808</v>
      </c>
      <c r="F4" s="9" t="s">
        <v>91</v>
      </c>
      <c r="G4" s="9" t="s">
        <v>16</v>
      </c>
      <c r="H4" s="10">
        <v>43810</v>
      </c>
    </row>
    <row r="5" spans="1:8" ht="91.5" customHeight="1" x14ac:dyDescent="0.25">
      <c r="A5" s="2">
        <v>2</v>
      </c>
      <c r="B5" s="2" t="s">
        <v>212</v>
      </c>
      <c r="C5" s="2" t="s">
        <v>213</v>
      </c>
      <c r="D5" s="2" t="s">
        <v>214</v>
      </c>
      <c r="E5" s="38">
        <v>44541</v>
      </c>
      <c r="F5" s="9" t="s">
        <v>91</v>
      </c>
      <c r="G5" s="6" t="s">
        <v>16</v>
      </c>
      <c r="H5" s="38">
        <v>45836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B3C293-49E1-418C-BFDD-6945063B6A25}">
  <dimension ref="A2:H5"/>
  <sheetViews>
    <sheetView workbookViewId="0">
      <selection activeCell="M6" sqref="M6"/>
    </sheetView>
  </sheetViews>
  <sheetFormatPr defaultRowHeight="15" x14ac:dyDescent="0.25"/>
  <cols>
    <col min="2" max="2" width="15.42578125" customWidth="1"/>
    <col min="3" max="3" width="12.28515625" customWidth="1"/>
    <col min="5" max="5" width="13" customWidth="1"/>
    <col min="7" max="7" width="11.140625" customWidth="1"/>
    <col min="8" max="8" width="11.7109375" customWidth="1"/>
  </cols>
  <sheetData>
    <row r="2" spans="1:8" ht="30" x14ac:dyDescent="0.25">
      <c r="A2" s="3" t="s">
        <v>159</v>
      </c>
      <c r="B2" s="3" t="s">
        <v>160</v>
      </c>
      <c r="C2" s="3" t="s">
        <v>161</v>
      </c>
      <c r="D2" s="3" t="s">
        <v>162</v>
      </c>
      <c r="E2" s="3" t="s">
        <v>163</v>
      </c>
      <c r="F2" s="3" t="s">
        <v>164</v>
      </c>
      <c r="G2" s="3" t="s">
        <v>165</v>
      </c>
      <c r="H2" s="3" t="s">
        <v>166</v>
      </c>
    </row>
    <row r="3" spans="1:8" ht="45" x14ac:dyDescent="0.25">
      <c r="A3" s="2">
        <v>1</v>
      </c>
      <c r="B3" s="9" t="s">
        <v>109</v>
      </c>
      <c r="C3" s="9" t="s">
        <v>110</v>
      </c>
      <c r="D3" s="9" t="s">
        <v>90</v>
      </c>
      <c r="E3" s="10">
        <v>43403</v>
      </c>
      <c r="F3" s="9" t="s">
        <v>111</v>
      </c>
      <c r="G3" s="9" t="s">
        <v>16</v>
      </c>
      <c r="H3" s="10">
        <v>44662</v>
      </c>
    </row>
    <row r="4" spans="1:8" ht="45" x14ac:dyDescent="0.25">
      <c r="A4" s="2">
        <v>2</v>
      </c>
      <c r="B4" s="6" t="s">
        <v>112</v>
      </c>
      <c r="C4" s="6" t="s">
        <v>113</v>
      </c>
      <c r="D4" s="6" t="s">
        <v>90</v>
      </c>
      <c r="E4" s="7">
        <v>32055</v>
      </c>
      <c r="F4" s="6" t="s">
        <v>111</v>
      </c>
      <c r="G4" s="6" t="s">
        <v>16</v>
      </c>
      <c r="H4" s="7">
        <v>44151</v>
      </c>
    </row>
    <row r="5" spans="1:8" ht="45" x14ac:dyDescent="0.25">
      <c r="A5" s="2">
        <v>3</v>
      </c>
      <c r="B5" s="9" t="s">
        <v>114</v>
      </c>
      <c r="C5" s="9" t="s">
        <v>115</v>
      </c>
      <c r="D5" s="9" t="s">
        <v>90</v>
      </c>
      <c r="E5" s="10">
        <v>43325</v>
      </c>
      <c r="F5" s="9" t="s">
        <v>111</v>
      </c>
      <c r="G5" s="9" t="s">
        <v>16</v>
      </c>
      <c r="H5" s="10">
        <v>44151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700EE6-9DD5-4F50-B1BA-ED3320429212}">
  <dimension ref="A2:H10"/>
  <sheetViews>
    <sheetView workbookViewId="0">
      <selection activeCell="B14" sqref="B14"/>
    </sheetView>
  </sheetViews>
  <sheetFormatPr defaultRowHeight="15" x14ac:dyDescent="0.25"/>
  <cols>
    <col min="1" max="1" width="5.5703125" customWidth="1"/>
    <col min="2" max="2" width="19.42578125" customWidth="1"/>
    <col min="3" max="3" width="14.85546875" customWidth="1"/>
    <col min="5" max="5" width="12.5703125" customWidth="1"/>
    <col min="6" max="6" width="12.140625" customWidth="1"/>
    <col min="8" max="8" width="11.85546875" customWidth="1"/>
  </cols>
  <sheetData>
    <row r="2" spans="1:8" ht="30" x14ac:dyDescent="0.25">
      <c r="A2" s="3" t="s">
        <v>159</v>
      </c>
      <c r="B2" s="3" t="s">
        <v>160</v>
      </c>
      <c r="C2" s="3" t="s">
        <v>161</v>
      </c>
      <c r="D2" s="3" t="s">
        <v>162</v>
      </c>
      <c r="E2" s="3" t="s">
        <v>163</v>
      </c>
      <c r="F2" s="3" t="s">
        <v>164</v>
      </c>
      <c r="G2" s="3" t="s">
        <v>165</v>
      </c>
      <c r="H2" s="3" t="s">
        <v>166</v>
      </c>
    </row>
    <row r="3" spans="1:8" ht="45" x14ac:dyDescent="0.25">
      <c r="A3" s="2">
        <v>1</v>
      </c>
      <c r="B3" s="6" t="s">
        <v>107</v>
      </c>
      <c r="C3" s="6" t="s">
        <v>108</v>
      </c>
      <c r="D3" s="6" t="s">
        <v>15</v>
      </c>
      <c r="E3" s="7">
        <v>39985</v>
      </c>
      <c r="F3" s="6" t="s">
        <v>104</v>
      </c>
      <c r="G3" s="6" t="s">
        <v>16</v>
      </c>
      <c r="H3" s="7">
        <v>44652</v>
      </c>
    </row>
    <row r="4" spans="1:8" ht="45" x14ac:dyDescent="0.25">
      <c r="A4" s="2">
        <v>2</v>
      </c>
      <c r="B4" s="6" t="s">
        <v>117</v>
      </c>
      <c r="C4" s="6" t="s">
        <v>118</v>
      </c>
      <c r="D4" s="6" t="s">
        <v>119</v>
      </c>
      <c r="E4" s="7">
        <v>44419</v>
      </c>
      <c r="F4" s="6" t="s">
        <v>104</v>
      </c>
      <c r="G4" s="6" t="s">
        <v>16</v>
      </c>
      <c r="H4" s="7">
        <v>45448</v>
      </c>
    </row>
    <row r="5" spans="1:8" ht="45" x14ac:dyDescent="0.25">
      <c r="A5" s="2">
        <v>3</v>
      </c>
      <c r="B5" s="9" t="s">
        <v>120</v>
      </c>
      <c r="C5" s="9" t="s">
        <v>121</v>
      </c>
      <c r="D5" s="9" t="s">
        <v>119</v>
      </c>
      <c r="E5" s="10">
        <v>42076</v>
      </c>
      <c r="F5" s="9" t="s">
        <v>122</v>
      </c>
      <c r="G5" s="9" t="s">
        <v>16</v>
      </c>
      <c r="H5" s="10">
        <v>45448</v>
      </c>
    </row>
    <row r="6" spans="1:8" ht="45" x14ac:dyDescent="0.25">
      <c r="A6" s="2">
        <v>4</v>
      </c>
      <c r="B6" s="9" t="s">
        <v>136</v>
      </c>
      <c r="C6" s="9" t="s">
        <v>137</v>
      </c>
      <c r="D6" s="9" t="s">
        <v>90</v>
      </c>
      <c r="E6" s="10">
        <v>42166</v>
      </c>
      <c r="F6" s="9" t="s">
        <v>104</v>
      </c>
      <c r="G6" s="9" t="s">
        <v>16</v>
      </c>
      <c r="H6" s="10">
        <v>43796</v>
      </c>
    </row>
    <row r="7" spans="1:8" ht="45" x14ac:dyDescent="0.25">
      <c r="A7" s="2">
        <v>5</v>
      </c>
      <c r="B7" s="6" t="s">
        <v>138</v>
      </c>
      <c r="C7" s="6" t="s">
        <v>139</v>
      </c>
      <c r="D7" s="6" t="s">
        <v>90</v>
      </c>
      <c r="E7" s="7">
        <v>42809</v>
      </c>
      <c r="F7" s="6" t="s">
        <v>104</v>
      </c>
      <c r="G7" s="6" t="s">
        <v>16</v>
      </c>
      <c r="H7" s="7">
        <v>44720</v>
      </c>
    </row>
    <row r="8" spans="1:8" ht="45" x14ac:dyDescent="0.25">
      <c r="A8" s="2">
        <v>6</v>
      </c>
      <c r="B8" s="9" t="s">
        <v>140</v>
      </c>
      <c r="C8" s="9" t="s">
        <v>141</v>
      </c>
      <c r="D8" s="9" t="s">
        <v>90</v>
      </c>
      <c r="E8" s="10">
        <v>43755</v>
      </c>
      <c r="F8" s="9" t="s">
        <v>104</v>
      </c>
      <c r="G8" s="9" t="s">
        <v>16</v>
      </c>
      <c r="H8" s="10">
        <v>44736</v>
      </c>
    </row>
    <row r="9" spans="1:8" ht="45" x14ac:dyDescent="0.25">
      <c r="A9" s="2">
        <v>7</v>
      </c>
      <c r="B9" s="6" t="s">
        <v>142</v>
      </c>
      <c r="C9" s="6" t="s">
        <v>143</v>
      </c>
      <c r="D9" s="6" t="s">
        <v>90</v>
      </c>
      <c r="E9" s="7">
        <v>41786</v>
      </c>
      <c r="F9" s="6" t="s">
        <v>104</v>
      </c>
      <c r="G9" s="6" t="s">
        <v>16</v>
      </c>
      <c r="H9" s="7">
        <v>42891</v>
      </c>
    </row>
    <row r="10" spans="1:8" ht="45" x14ac:dyDescent="0.25">
      <c r="A10" s="2">
        <v>8</v>
      </c>
      <c r="B10" s="6" t="s">
        <v>146</v>
      </c>
      <c r="C10" s="6" t="s">
        <v>147</v>
      </c>
      <c r="D10" s="6" t="s">
        <v>119</v>
      </c>
      <c r="E10" s="7">
        <v>40085</v>
      </c>
      <c r="F10" s="6" t="s">
        <v>104</v>
      </c>
      <c r="G10" s="6" t="s">
        <v>16</v>
      </c>
      <c r="H10" s="7">
        <v>44739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8FFC0D-8C8B-4367-ADE1-092C1817943A}">
  <dimension ref="A2:H9"/>
  <sheetViews>
    <sheetView workbookViewId="0">
      <selection activeCell="H17" sqref="H17"/>
    </sheetView>
  </sheetViews>
  <sheetFormatPr defaultRowHeight="15" x14ac:dyDescent="0.25"/>
  <cols>
    <col min="1" max="1" width="6" customWidth="1"/>
    <col min="2" max="2" width="19.5703125" customWidth="1"/>
    <col min="3" max="3" width="13.7109375" customWidth="1"/>
    <col min="5" max="5" width="12.42578125" customWidth="1"/>
    <col min="8" max="8" width="11.7109375" customWidth="1"/>
  </cols>
  <sheetData>
    <row r="2" spans="1:8" ht="30" x14ac:dyDescent="0.25">
      <c r="A2" s="3" t="s">
        <v>159</v>
      </c>
      <c r="B2" s="3" t="s">
        <v>160</v>
      </c>
      <c r="C2" s="3" t="s">
        <v>161</v>
      </c>
      <c r="D2" s="3" t="s">
        <v>162</v>
      </c>
      <c r="E2" s="3" t="s">
        <v>163</v>
      </c>
      <c r="F2" s="3" t="s">
        <v>164</v>
      </c>
      <c r="G2" s="3" t="s">
        <v>165</v>
      </c>
      <c r="H2" s="3" t="s">
        <v>166</v>
      </c>
    </row>
    <row r="3" spans="1:8" ht="45" x14ac:dyDescent="0.25">
      <c r="A3" s="2">
        <v>1</v>
      </c>
      <c r="B3" s="6" t="s">
        <v>72</v>
      </c>
      <c r="C3" s="6" t="s">
        <v>73</v>
      </c>
      <c r="D3" s="6" t="s">
        <v>71</v>
      </c>
      <c r="E3" s="7">
        <v>39325</v>
      </c>
      <c r="F3" s="6" t="s">
        <v>67</v>
      </c>
      <c r="G3" s="6" t="s">
        <v>16</v>
      </c>
      <c r="H3" s="7">
        <v>45132</v>
      </c>
    </row>
    <row r="4" spans="1:8" ht="45" x14ac:dyDescent="0.25">
      <c r="A4" s="2">
        <v>2</v>
      </c>
      <c r="B4" s="6" t="s">
        <v>75</v>
      </c>
      <c r="C4" s="6" t="s">
        <v>76</v>
      </c>
      <c r="D4" s="6" t="s">
        <v>71</v>
      </c>
      <c r="E4" s="7">
        <v>39359</v>
      </c>
      <c r="F4" s="6" t="s">
        <v>67</v>
      </c>
      <c r="G4" s="6" t="s">
        <v>16</v>
      </c>
      <c r="H4" s="7">
        <v>44223</v>
      </c>
    </row>
    <row r="5" spans="1:8" ht="45" x14ac:dyDescent="0.25">
      <c r="A5" s="2">
        <v>3</v>
      </c>
      <c r="B5" s="6" t="s">
        <v>79</v>
      </c>
      <c r="C5" s="6" t="s">
        <v>80</v>
      </c>
      <c r="D5" s="6" t="s">
        <v>71</v>
      </c>
      <c r="E5" s="7">
        <v>41379</v>
      </c>
      <c r="F5" s="6" t="s">
        <v>67</v>
      </c>
      <c r="G5" s="6" t="s">
        <v>16</v>
      </c>
      <c r="H5" s="7">
        <v>44652</v>
      </c>
    </row>
    <row r="6" spans="1:8" ht="45" x14ac:dyDescent="0.25">
      <c r="A6" s="2">
        <v>4</v>
      </c>
      <c r="B6" s="9" t="s">
        <v>81</v>
      </c>
      <c r="C6" s="9" t="s">
        <v>82</v>
      </c>
      <c r="D6" s="9" t="s">
        <v>71</v>
      </c>
      <c r="E6" s="10">
        <v>40005</v>
      </c>
      <c r="F6" s="9" t="s">
        <v>67</v>
      </c>
      <c r="G6" s="9" t="s">
        <v>16</v>
      </c>
      <c r="H6" s="10">
        <v>43643</v>
      </c>
    </row>
    <row r="7" spans="1:8" ht="45" x14ac:dyDescent="0.25">
      <c r="A7" s="2">
        <v>5</v>
      </c>
      <c r="B7" s="6" t="s">
        <v>83</v>
      </c>
      <c r="C7" s="6" t="s">
        <v>84</v>
      </c>
      <c r="D7" s="6" t="s">
        <v>71</v>
      </c>
      <c r="E7" s="7">
        <v>36025</v>
      </c>
      <c r="F7" s="6" t="s">
        <v>67</v>
      </c>
      <c r="G7" s="6" t="s">
        <v>16</v>
      </c>
      <c r="H7" s="7">
        <v>40010</v>
      </c>
    </row>
    <row r="8" spans="1:8" ht="45" x14ac:dyDescent="0.25">
      <c r="A8" s="2">
        <v>6</v>
      </c>
      <c r="B8" s="2" t="s">
        <v>191</v>
      </c>
      <c r="C8" s="2" t="s">
        <v>192</v>
      </c>
      <c r="D8" s="2" t="s">
        <v>71</v>
      </c>
      <c r="E8" s="38">
        <v>43673</v>
      </c>
      <c r="F8" s="2" t="s">
        <v>67</v>
      </c>
      <c r="G8" s="6" t="s">
        <v>16</v>
      </c>
      <c r="H8" s="38">
        <v>45839</v>
      </c>
    </row>
    <row r="9" spans="1:8" ht="45" x14ac:dyDescent="0.25">
      <c r="A9" s="2">
        <v>7</v>
      </c>
      <c r="B9" s="2" t="s">
        <v>202</v>
      </c>
      <c r="C9" s="2" t="s">
        <v>211</v>
      </c>
      <c r="D9" s="2" t="s">
        <v>71</v>
      </c>
      <c r="E9" s="38">
        <v>40240</v>
      </c>
      <c r="F9" s="2" t="s">
        <v>67</v>
      </c>
      <c r="G9" s="6" t="s">
        <v>16</v>
      </c>
      <c r="H9" s="38">
        <v>45869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AC4C21-62DD-4540-BBB1-21544AD5FCCC}">
  <dimension ref="A3:H13"/>
  <sheetViews>
    <sheetView workbookViewId="0">
      <selection activeCell="M9" sqref="M9"/>
    </sheetView>
  </sheetViews>
  <sheetFormatPr defaultRowHeight="15" x14ac:dyDescent="0.25"/>
  <cols>
    <col min="2" max="2" width="21" customWidth="1"/>
    <col min="3" max="3" width="13" customWidth="1"/>
    <col min="5" max="5" width="11" customWidth="1"/>
    <col min="6" max="6" width="11.7109375" customWidth="1"/>
    <col min="8" max="8" width="12.140625" customWidth="1"/>
  </cols>
  <sheetData>
    <row r="3" spans="1:8" ht="30" x14ac:dyDescent="0.25">
      <c r="A3" s="3" t="s">
        <v>159</v>
      </c>
      <c r="B3" s="3" t="s">
        <v>160</v>
      </c>
      <c r="C3" s="3" t="s">
        <v>161</v>
      </c>
      <c r="D3" s="3" t="s">
        <v>162</v>
      </c>
      <c r="E3" s="3" t="s">
        <v>163</v>
      </c>
      <c r="F3" s="3" t="s">
        <v>164</v>
      </c>
      <c r="G3" s="3" t="s">
        <v>165</v>
      </c>
      <c r="H3" s="3" t="s">
        <v>166</v>
      </c>
    </row>
    <row r="4" spans="1:8" ht="60" x14ac:dyDescent="0.25">
      <c r="A4" s="2">
        <v>1</v>
      </c>
      <c r="B4" s="2" t="s">
        <v>208</v>
      </c>
      <c r="C4" s="2" t="s">
        <v>209</v>
      </c>
      <c r="D4" s="11" t="s">
        <v>210</v>
      </c>
      <c r="E4" s="38">
        <v>45876</v>
      </c>
      <c r="F4" s="2" t="s">
        <v>49</v>
      </c>
      <c r="G4" s="6" t="s">
        <v>3</v>
      </c>
      <c r="H4" s="38">
        <v>45866</v>
      </c>
    </row>
    <row r="5" spans="1:8" ht="45" x14ac:dyDescent="0.25">
      <c r="A5" s="2">
        <v>2</v>
      </c>
      <c r="B5" s="9" t="s">
        <v>47</v>
      </c>
      <c r="C5" s="9" t="s">
        <v>48</v>
      </c>
      <c r="D5" s="9" t="s">
        <v>15</v>
      </c>
      <c r="E5" s="10">
        <v>44652</v>
      </c>
      <c r="F5" s="9" t="s">
        <v>49</v>
      </c>
      <c r="G5" s="9" t="s">
        <v>16</v>
      </c>
      <c r="H5" s="10">
        <v>44707</v>
      </c>
    </row>
    <row r="6" spans="1:8" ht="45" x14ac:dyDescent="0.25">
      <c r="A6" s="2">
        <v>3</v>
      </c>
      <c r="B6" s="9" t="s">
        <v>53</v>
      </c>
      <c r="C6" s="9" t="s">
        <v>54</v>
      </c>
      <c r="D6" s="9" t="s">
        <v>15</v>
      </c>
      <c r="E6" s="10">
        <v>40644</v>
      </c>
      <c r="F6" s="9" t="s">
        <v>49</v>
      </c>
      <c r="G6" s="9" t="s">
        <v>16</v>
      </c>
      <c r="H6" s="10">
        <v>45103</v>
      </c>
    </row>
    <row r="7" spans="1:8" ht="45" x14ac:dyDescent="0.25">
      <c r="A7" s="2">
        <v>4</v>
      </c>
      <c r="B7" s="6" t="s">
        <v>55</v>
      </c>
      <c r="C7" s="6" t="s">
        <v>56</v>
      </c>
      <c r="D7" s="6" t="s">
        <v>15</v>
      </c>
      <c r="E7" s="7">
        <v>42888</v>
      </c>
      <c r="F7" s="6" t="s">
        <v>49</v>
      </c>
      <c r="G7" s="6" t="s">
        <v>16</v>
      </c>
      <c r="H7" s="7">
        <v>44433</v>
      </c>
    </row>
    <row r="8" spans="1:8" ht="45" x14ac:dyDescent="0.25">
      <c r="A8" s="2">
        <v>5</v>
      </c>
      <c r="B8" s="6" t="s">
        <v>63</v>
      </c>
      <c r="C8" s="6" t="s">
        <v>64</v>
      </c>
      <c r="D8" s="6" t="s">
        <v>15</v>
      </c>
      <c r="E8" s="7">
        <v>40562</v>
      </c>
      <c r="F8" s="6" t="s">
        <v>49</v>
      </c>
      <c r="G8" s="6" t="s">
        <v>16</v>
      </c>
      <c r="H8" s="7">
        <v>42095</v>
      </c>
    </row>
    <row r="9" spans="1:8" ht="45" x14ac:dyDescent="0.25">
      <c r="A9" s="2">
        <v>6</v>
      </c>
      <c r="B9" s="6" t="s">
        <v>68</v>
      </c>
      <c r="C9" s="6" t="s">
        <v>69</v>
      </c>
      <c r="D9" s="6" t="s">
        <v>15</v>
      </c>
      <c r="E9" s="7">
        <v>38474</v>
      </c>
      <c r="F9" s="6" t="s">
        <v>49</v>
      </c>
      <c r="G9" s="6" t="s">
        <v>16</v>
      </c>
      <c r="H9" s="7">
        <v>42879</v>
      </c>
    </row>
    <row r="10" spans="1:8" ht="45" x14ac:dyDescent="0.25">
      <c r="A10" s="2">
        <v>7</v>
      </c>
      <c r="B10" s="6" t="s">
        <v>86</v>
      </c>
      <c r="C10" s="6" t="s">
        <v>87</v>
      </c>
      <c r="D10" s="6" t="s">
        <v>15</v>
      </c>
      <c r="E10" s="7">
        <v>38632</v>
      </c>
      <c r="F10" s="6" t="s">
        <v>49</v>
      </c>
      <c r="G10" s="6" t="s">
        <v>16</v>
      </c>
      <c r="H10" s="7">
        <v>44757</v>
      </c>
    </row>
    <row r="11" spans="1:8" ht="45" x14ac:dyDescent="0.25">
      <c r="A11" s="2">
        <v>8</v>
      </c>
      <c r="B11" s="9" t="s">
        <v>148</v>
      </c>
      <c r="C11" s="9" t="s">
        <v>149</v>
      </c>
      <c r="D11" s="9" t="s">
        <v>15</v>
      </c>
      <c r="E11" s="10">
        <v>40663</v>
      </c>
      <c r="F11" s="9" t="s">
        <v>49</v>
      </c>
      <c r="G11" s="9" t="s">
        <v>16</v>
      </c>
      <c r="H11" s="10">
        <v>45129</v>
      </c>
    </row>
    <row r="12" spans="1:8" ht="45" x14ac:dyDescent="0.25">
      <c r="A12" s="2">
        <v>9</v>
      </c>
      <c r="B12" s="6" t="s">
        <v>150</v>
      </c>
      <c r="C12" s="6" t="s">
        <v>151</v>
      </c>
      <c r="D12" s="6" t="s">
        <v>15</v>
      </c>
      <c r="E12" s="7">
        <v>40308</v>
      </c>
      <c r="F12" s="6" t="s">
        <v>49</v>
      </c>
      <c r="G12" s="6" t="s">
        <v>16</v>
      </c>
      <c r="H12" s="7">
        <v>44733</v>
      </c>
    </row>
    <row r="13" spans="1:8" ht="45" x14ac:dyDescent="0.25">
      <c r="A13" s="2">
        <v>10</v>
      </c>
      <c r="B13" s="2" t="s">
        <v>200</v>
      </c>
      <c r="C13" s="2" t="s">
        <v>201</v>
      </c>
      <c r="D13" s="2" t="s">
        <v>184</v>
      </c>
      <c r="E13" s="38">
        <v>45458</v>
      </c>
      <c r="F13" s="2" t="s">
        <v>49</v>
      </c>
      <c r="G13" s="6" t="s">
        <v>16</v>
      </c>
      <c r="H13" s="38">
        <v>45869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7BECCA-6315-479B-8E32-28C2A0D19E78}">
  <dimension ref="A2:H10"/>
  <sheetViews>
    <sheetView workbookViewId="0">
      <selection activeCell="B16" sqref="B16"/>
    </sheetView>
  </sheetViews>
  <sheetFormatPr defaultRowHeight="15" x14ac:dyDescent="0.25"/>
  <cols>
    <col min="1" max="1" width="5.85546875" customWidth="1"/>
    <col min="2" max="2" width="22.28515625" customWidth="1"/>
    <col min="4" max="4" width="11.28515625" customWidth="1"/>
    <col min="5" max="5" width="13" customWidth="1"/>
    <col min="7" max="7" width="12.140625" customWidth="1"/>
    <col min="8" max="8" width="11.140625" customWidth="1"/>
  </cols>
  <sheetData>
    <row r="2" spans="1:8" ht="30" x14ac:dyDescent="0.25">
      <c r="A2" s="3" t="s">
        <v>159</v>
      </c>
      <c r="B2" s="3" t="s">
        <v>160</v>
      </c>
      <c r="C2" s="3" t="s">
        <v>161</v>
      </c>
      <c r="D2" s="3" t="s">
        <v>162</v>
      </c>
      <c r="E2" s="3" t="s">
        <v>163</v>
      </c>
      <c r="F2" s="3" t="s">
        <v>164</v>
      </c>
      <c r="G2" s="3" t="s">
        <v>165</v>
      </c>
      <c r="H2" s="4" t="s">
        <v>166</v>
      </c>
    </row>
    <row r="3" spans="1:8" ht="60" x14ac:dyDescent="0.25">
      <c r="A3" s="2">
        <v>1</v>
      </c>
      <c r="B3" s="6" t="s">
        <v>9</v>
      </c>
      <c r="C3" s="6" t="s">
        <v>10</v>
      </c>
      <c r="D3" s="6" t="s">
        <v>11</v>
      </c>
      <c r="E3" s="7">
        <v>41342</v>
      </c>
      <c r="F3" s="6" t="s">
        <v>12</v>
      </c>
      <c r="G3" s="6" t="s">
        <v>3</v>
      </c>
      <c r="H3" s="7">
        <v>39666</v>
      </c>
    </row>
    <row r="4" spans="1:8" ht="60" x14ac:dyDescent="0.25">
      <c r="A4" s="35">
        <v>2</v>
      </c>
      <c r="B4" s="9" t="s">
        <v>29</v>
      </c>
      <c r="C4" s="9" t="s">
        <v>30</v>
      </c>
      <c r="D4" s="9" t="s">
        <v>11</v>
      </c>
      <c r="E4" s="10">
        <v>43879</v>
      </c>
      <c r="F4" s="9" t="s">
        <v>12</v>
      </c>
      <c r="G4" s="6" t="s">
        <v>3</v>
      </c>
      <c r="H4" s="10">
        <v>44713</v>
      </c>
    </row>
    <row r="5" spans="1:8" ht="45" x14ac:dyDescent="0.25">
      <c r="A5" s="2">
        <v>3</v>
      </c>
      <c r="B5" s="6" t="s">
        <v>41</v>
      </c>
      <c r="C5" s="6" t="s">
        <v>42</v>
      </c>
      <c r="D5" s="6" t="s">
        <v>15</v>
      </c>
      <c r="E5" s="7">
        <v>39323</v>
      </c>
      <c r="F5" s="6" t="s">
        <v>12</v>
      </c>
      <c r="G5" s="6" t="s">
        <v>16</v>
      </c>
      <c r="H5" s="7">
        <v>40771</v>
      </c>
    </row>
    <row r="6" spans="1:8" ht="45" x14ac:dyDescent="0.25">
      <c r="A6" s="35">
        <v>4</v>
      </c>
      <c r="B6" s="9" t="s">
        <v>43</v>
      </c>
      <c r="C6" s="9" t="s">
        <v>44</v>
      </c>
      <c r="D6" s="9" t="s">
        <v>15</v>
      </c>
      <c r="E6" s="10">
        <v>38605</v>
      </c>
      <c r="F6" s="9" t="s">
        <v>12</v>
      </c>
      <c r="G6" s="9" t="s">
        <v>16</v>
      </c>
      <c r="H6" s="10">
        <v>42186</v>
      </c>
    </row>
    <row r="7" spans="1:8" ht="45" x14ac:dyDescent="0.25">
      <c r="A7" s="2">
        <v>5</v>
      </c>
      <c r="B7" s="6" t="s">
        <v>45</v>
      </c>
      <c r="C7" s="6" t="s">
        <v>46</v>
      </c>
      <c r="D7" s="6" t="s">
        <v>15</v>
      </c>
      <c r="E7" s="7">
        <v>42842</v>
      </c>
      <c r="F7" s="6" t="s">
        <v>12</v>
      </c>
      <c r="G7" s="6" t="s">
        <v>16</v>
      </c>
      <c r="H7" s="7">
        <v>45117</v>
      </c>
    </row>
    <row r="8" spans="1:8" ht="45" x14ac:dyDescent="0.25">
      <c r="A8" s="35">
        <v>6</v>
      </c>
      <c r="B8" s="9" t="s">
        <v>60</v>
      </c>
      <c r="C8" s="9" t="s">
        <v>61</v>
      </c>
      <c r="D8" s="9" t="s">
        <v>15</v>
      </c>
      <c r="E8" s="10">
        <v>39660</v>
      </c>
      <c r="F8" s="9" t="s">
        <v>12</v>
      </c>
      <c r="G8" s="9" t="s">
        <v>16</v>
      </c>
      <c r="H8" s="10">
        <v>44508</v>
      </c>
    </row>
    <row r="9" spans="1:8" ht="45" x14ac:dyDescent="0.25">
      <c r="A9" s="2">
        <v>7</v>
      </c>
      <c r="B9" s="9" t="s">
        <v>144</v>
      </c>
      <c r="C9" s="9" t="s">
        <v>145</v>
      </c>
      <c r="D9" s="9" t="s">
        <v>15</v>
      </c>
      <c r="E9" s="10">
        <v>39367</v>
      </c>
      <c r="F9" s="9" t="s">
        <v>12</v>
      </c>
      <c r="G9" s="9" t="s">
        <v>16</v>
      </c>
      <c r="H9" s="10">
        <v>45485</v>
      </c>
    </row>
    <row r="10" spans="1:8" ht="45" x14ac:dyDescent="0.25">
      <c r="A10" s="35">
        <v>8</v>
      </c>
      <c r="B10" s="2" t="s">
        <v>198</v>
      </c>
      <c r="C10" s="39" t="s">
        <v>199</v>
      </c>
      <c r="D10" s="2" t="s">
        <v>184</v>
      </c>
      <c r="E10" s="38">
        <v>40592</v>
      </c>
      <c r="F10" s="2" t="s">
        <v>12</v>
      </c>
      <c r="G10" s="6" t="s">
        <v>16</v>
      </c>
      <c r="H10" s="38">
        <v>45869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A77DC0-F0DE-454B-9F9C-DC49703BC314}">
  <dimension ref="A2:H19"/>
  <sheetViews>
    <sheetView workbookViewId="0">
      <selection activeCell="J25" sqref="J25"/>
    </sheetView>
  </sheetViews>
  <sheetFormatPr defaultRowHeight="15" x14ac:dyDescent="0.25"/>
  <cols>
    <col min="2" max="2" width="19.7109375" customWidth="1"/>
    <col min="5" max="5" width="13.42578125" customWidth="1"/>
    <col min="6" max="6" width="15.140625" customWidth="1"/>
    <col min="8" max="8" width="13.7109375" customWidth="1"/>
  </cols>
  <sheetData>
    <row r="2" spans="1:8" ht="30" x14ac:dyDescent="0.25">
      <c r="A2" s="3" t="s">
        <v>159</v>
      </c>
      <c r="B2" s="3" t="s">
        <v>160</v>
      </c>
      <c r="C2" s="3" t="s">
        <v>161</v>
      </c>
      <c r="D2" s="3" t="s">
        <v>162</v>
      </c>
      <c r="E2" s="3" t="s">
        <v>163</v>
      </c>
      <c r="F2" s="3" t="s">
        <v>164</v>
      </c>
      <c r="G2" s="3" t="s">
        <v>165</v>
      </c>
      <c r="H2" s="3" t="s">
        <v>166</v>
      </c>
    </row>
    <row r="3" spans="1:8" ht="60" x14ac:dyDescent="0.25">
      <c r="A3" s="2">
        <v>1</v>
      </c>
      <c r="B3" s="9" t="s">
        <v>6</v>
      </c>
      <c r="C3" s="9" t="s">
        <v>7</v>
      </c>
      <c r="D3" s="9" t="s">
        <v>1</v>
      </c>
      <c r="E3" s="10">
        <v>41348</v>
      </c>
      <c r="F3" s="9" t="s">
        <v>8</v>
      </c>
      <c r="G3" s="9" t="s">
        <v>3</v>
      </c>
      <c r="H3" s="10">
        <v>44515</v>
      </c>
    </row>
    <row r="4" spans="1:8" ht="60" x14ac:dyDescent="0.25">
      <c r="A4" s="2">
        <v>2</v>
      </c>
      <c r="B4" s="6" t="s">
        <v>158</v>
      </c>
      <c r="C4" s="6" t="s">
        <v>0</v>
      </c>
      <c r="D4" s="6" t="s">
        <v>1</v>
      </c>
      <c r="E4" s="7">
        <v>42824</v>
      </c>
      <c r="F4" s="6" t="s">
        <v>2</v>
      </c>
      <c r="G4" s="6" t="s">
        <v>3</v>
      </c>
      <c r="H4" s="37">
        <v>43814</v>
      </c>
    </row>
    <row r="5" spans="1:8" ht="60" x14ac:dyDescent="0.25">
      <c r="A5" s="2">
        <v>3</v>
      </c>
      <c r="B5" s="9" t="s">
        <v>133</v>
      </c>
      <c r="C5" s="9" t="s">
        <v>134</v>
      </c>
      <c r="D5" s="9" t="s">
        <v>1</v>
      </c>
      <c r="E5" s="10">
        <v>44887</v>
      </c>
      <c r="F5" s="9" t="s">
        <v>2</v>
      </c>
      <c r="G5" s="9" t="s">
        <v>3</v>
      </c>
      <c r="H5" s="10">
        <v>45469</v>
      </c>
    </row>
    <row r="6" spans="1:8" ht="45" x14ac:dyDescent="0.25">
      <c r="A6" s="2">
        <v>4</v>
      </c>
      <c r="B6" s="9" t="s">
        <v>25</v>
      </c>
      <c r="C6" s="9" t="s">
        <v>26</v>
      </c>
      <c r="D6" s="9" t="s">
        <v>15</v>
      </c>
      <c r="E6" s="10">
        <v>38374</v>
      </c>
      <c r="F6" s="9" t="s">
        <v>2</v>
      </c>
      <c r="G6" s="9" t="s">
        <v>16</v>
      </c>
      <c r="H6" s="10">
        <v>44527</v>
      </c>
    </row>
    <row r="7" spans="1:8" ht="45" x14ac:dyDescent="0.25">
      <c r="A7" s="2">
        <v>5</v>
      </c>
      <c r="B7" s="6" t="s">
        <v>22</v>
      </c>
      <c r="C7" s="6" t="s">
        <v>23</v>
      </c>
      <c r="D7" s="6" t="s">
        <v>24</v>
      </c>
      <c r="E7" s="7">
        <v>41878</v>
      </c>
      <c r="F7" s="6" t="s">
        <v>2</v>
      </c>
      <c r="G7" s="6" t="s">
        <v>16</v>
      </c>
      <c r="H7" s="7">
        <v>43650</v>
      </c>
    </row>
    <row r="8" spans="1:8" ht="45" x14ac:dyDescent="0.25">
      <c r="A8" s="2">
        <v>6</v>
      </c>
      <c r="B8" s="9" t="s">
        <v>13</v>
      </c>
      <c r="C8" s="9" t="s">
        <v>14</v>
      </c>
      <c r="D8" s="9" t="s">
        <v>15</v>
      </c>
      <c r="E8" s="10">
        <v>44662</v>
      </c>
      <c r="F8" s="9" t="s">
        <v>2</v>
      </c>
      <c r="G8" s="9" t="s">
        <v>16</v>
      </c>
      <c r="H8" s="10">
        <v>44713</v>
      </c>
    </row>
    <row r="9" spans="1:8" ht="45" x14ac:dyDescent="0.25">
      <c r="A9" s="2">
        <v>7</v>
      </c>
      <c r="B9" s="6" t="s">
        <v>27</v>
      </c>
      <c r="C9" s="6" t="s">
        <v>28</v>
      </c>
      <c r="D9" s="6" t="s">
        <v>15</v>
      </c>
      <c r="E9" s="7">
        <v>42650</v>
      </c>
      <c r="F9" s="6" t="s">
        <v>2</v>
      </c>
      <c r="G9" s="6" t="s">
        <v>16</v>
      </c>
      <c r="H9" s="7">
        <v>45107</v>
      </c>
    </row>
    <row r="10" spans="1:8" ht="45" x14ac:dyDescent="0.25">
      <c r="A10" s="2">
        <v>8</v>
      </c>
      <c r="B10" s="9" t="s">
        <v>32</v>
      </c>
      <c r="C10" s="9" t="s">
        <v>33</v>
      </c>
      <c r="D10" s="9" t="s">
        <v>15</v>
      </c>
      <c r="E10" s="10">
        <v>38824</v>
      </c>
      <c r="F10" s="9" t="s">
        <v>2</v>
      </c>
      <c r="G10" s="9" t="s">
        <v>16</v>
      </c>
      <c r="H10" s="10">
        <v>45444</v>
      </c>
    </row>
    <row r="11" spans="1:8" ht="45" x14ac:dyDescent="0.25">
      <c r="A11" s="2">
        <v>9</v>
      </c>
      <c r="B11" s="6" t="s">
        <v>34</v>
      </c>
      <c r="C11" s="6" t="s">
        <v>35</v>
      </c>
      <c r="D11" s="6" t="s">
        <v>15</v>
      </c>
      <c r="E11" s="7">
        <v>42202</v>
      </c>
      <c r="F11" s="6" t="s">
        <v>2</v>
      </c>
      <c r="G11" s="6" t="s">
        <v>16</v>
      </c>
      <c r="H11" s="7">
        <v>44862</v>
      </c>
    </row>
    <row r="12" spans="1:8" ht="45" x14ac:dyDescent="0.25">
      <c r="A12" s="2">
        <v>10</v>
      </c>
      <c r="B12" s="9" t="s">
        <v>36</v>
      </c>
      <c r="C12" s="9" t="s">
        <v>37</v>
      </c>
      <c r="D12" s="9" t="s">
        <v>15</v>
      </c>
      <c r="E12" s="10">
        <v>36805</v>
      </c>
      <c r="F12" s="9" t="s">
        <v>2</v>
      </c>
      <c r="G12" s="9" t="s">
        <v>16</v>
      </c>
      <c r="H12" s="10">
        <v>45474</v>
      </c>
    </row>
    <row r="13" spans="1:8" ht="45" x14ac:dyDescent="0.25">
      <c r="A13" s="2">
        <v>11</v>
      </c>
      <c r="B13" s="6" t="s">
        <v>38</v>
      </c>
      <c r="C13" s="6" t="s">
        <v>39</v>
      </c>
      <c r="D13" s="6" t="s">
        <v>15</v>
      </c>
      <c r="E13" s="7">
        <v>42661</v>
      </c>
      <c r="F13" s="6" t="s">
        <v>2</v>
      </c>
      <c r="G13" s="6" t="s">
        <v>16</v>
      </c>
      <c r="H13" s="7">
        <v>45416</v>
      </c>
    </row>
    <row r="14" spans="1:8" ht="45" x14ac:dyDescent="0.25">
      <c r="A14" s="2">
        <v>12</v>
      </c>
      <c r="B14" s="6" t="s">
        <v>58</v>
      </c>
      <c r="C14" s="6" t="s">
        <v>59</v>
      </c>
      <c r="D14" s="6" t="s">
        <v>15</v>
      </c>
      <c r="E14" s="7">
        <v>40651</v>
      </c>
      <c r="F14" s="6" t="s">
        <v>2</v>
      </c>
      <c r="G14" s="6" t="s">
        <v>16</v>
      </c>
      <c r="H14" s="7">
        <v>44716</v>
      </c>
    </row>
    <row r="15" spans="1:8" ht="45" x14ac:dyDescent="0.25">
      <c r="A15" s="2">
        <v>13</v>
      </c>
      <c r="B15" s="9" t="s">
        <v>77</v>
      </c>
      <c r="C15" s="9" t="s">
        <v>78</v>
      </c>
      <c r="D15" s="9" t="s">
        <v>15</v>
      </c>
      <c r="E15" s="10">
        <v>43196</v>
      </c>
      <c r="F15" s="9" t="s">
        <v>2</v>
      </c>
      <c r="G15" s="9" t="s">
        <v>16</v>
      </c>
      <c r="H15" s="10">
        <v>45444</v>
      </c>
    </row>
    <row r="16" spans="1:8" ht="45" x14ac:dyDescent="0.25">
      <c r="A16" s="2">
        <v>14</v>
      </c>
      <c r="B16" s="9" t="s">
        <v>183</v>
      </c>
      <c r="C16" s="2" t="s">
        <v>185</v>
      </c>
      <c r="D16" s="2" t="s">
        <v>184</v>
      </c>
      <c r="E16" s="38">
        <v>42420</v>
      </c>
      <c r="F16" s="9" t="s">
        <v>2</v>
      </c>
      <c r="G16" s="6" t="s">
        <v>16</v>
      </c>
      <c r="H16" s="38">
        <v>45839</v>
      </c>
    </row>
    <row r="17" spans="1:8" ht="45" x14ac:dyDescent="0.25">
      <c r="A17" s="2">
        <v>15</v>
      </c>
      <c r="B17" s="2" t="s">
        <v>187</v>
      </c>
      <c r="C17" s="2" t="s">
        <v>188</v>
      </c>
      <c r="D17" s="2" t="s">
        <v>184</v>
      </c>
      <c r="E17" s="38">
        <v>43609</v>
      </c>
      <c r="F17" s="9" t="s">
        <v>2</v>
      </c>
      <c r="G17" s="6" t="s">
        <v>16</v>
      </c>
      <c r="H17" s="38">
        <v>45678</v>
      </c>
    </row>
    <row r="18" spans="1:8" ht="45" x14ac:dyDescent="0.25">
      <c r="A18" s="2">
        <v>16</v>
      </c>
      <c r="B18" s="2" t="s">
        <v>144</v>
      </c>
      <c r="C18" s="2" t="s">
        <v>189</v>
      </c>
      <c r="D18" s="2" t="s">
        <v>190</v>
      </c>
      <c r="E18" s="38">
        <v>39269</v>
      </c>
      <c r="F18" s="9" t="s">
        <v>2</v>
      </c>
      <c r="G18" s="6" t="s">
        <v>16</v>
      </c>
      <c r="H18" s="38">
        <v>45839</v>
      </c>
    </row>
    <row r="19" spans="1:8" ht="45" x14ac:dyDescent="0.25">
      <c r="A19" s="2">
        <v>17</v>
      </c>
      <c r="B19" s="9" t="s">
        <v>19</v>
      </c>
      <c r="C19" s="9" t="s">
        <v>20</v>
      </c>
      <c r="D19" s="9" t="s">
        <v>15</v>
      </c>
      <c r="E19" s="10">
        <v>40661</v>
      </c>
      <c r="F19" s="9" t="s">
        <v>21</v>
      </c>
      <c r="G19" s="9" t="s">
        <v>16</v>
      </c>
      <c r="H19" s="10">
        <v>45108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E416C2-0496-4753-B4F5-61279124921F}">
  <dimension ref="A1:J76"/>
  <sheetViews>
    <sheetView tabSelected="1" zoomScaleNormal="100" workbookViewId="0">
      <selection activeCell="C3" sqref="C3:F3"/>
    </sheetView>
  </sheetViews>
  <sheetFormatPr defaultRowHeight="15" x14ac:dyDescent="0.25"/>
  <cols>
    <col min="1" max="1" width="5.7109375" customWidth="1"/>
    <col min="2" max="2" width="25" customWidth="1"/>
    <col min="3" max="3" width="14.85546875" customWidth="1"/>
    <col min="4" max="4" width="10.42578125" customWidth="1"/>
    <col min="5" max="5" width="12.140625" customWidth="1"/>
    <col min="6" max="6" width="15.28515625" customWidth="1"/>
    <col min="7" max="7" width="11" customWidth="1"/>
    <col min="8" max="8" width="13.7109375" customWidth="1"/>
    <col min="9" max="9" width="0" hidden="1" customWidth="1"/>
  </cols>
  <sheetData>
    <row r="1" spans="1:10" ht="36" customHeight="1" x14ac:dyDescent="0.25"/>
    <row r="2" spans="1:10" ht="36" customHeight="1" x14ac:dyDescent="0.25">
      <c r="A2" s="42"/>
      <c r="B2" s="42"/>
      <c r="C2" s="42"/>
      <c r="D2" s="42"/>
      <c r="E2" s="42"/>
      <c r="F2" s="42"/>
      <c r="G2" s="42"/>
      <c r="H2" s="42"/>
      <c r="I2" s="42"/>
    </row>
    <row r="3" spans="1:10" ht="27" customHeight="1" x14ac:dyDescent="0.25">
      <c r="A3" s="42"/>
      <c r="B3" s="42"/>
      <c r="C3" s="47" t="s">
        <v>234</v>
      </c>
      <c r="D3" s="47"/>
      <c r="E3" s="47"/>
      <c r="F3" s="47"/>
      <c r="G3" s="42"/>
      <c r="H3" s="42"/>
      <c r="I3" s="42"/>
    </row>
    <row r="4" spans="1:10" ht="24" customHeight="1" x14ac:dyDescent="0.25">
      <c r="A4" s="42"/>
      <c r="B4" s="47" t="s">
        <v>181</v>
      </c>
      <c r="C4" s="47"/>
      <c r="D4" s="47"/>
      <c r="E4" s="47"/>
      <c r="F4" s="47"/>
      <c r="G4" s="47"/>
      <c r="H4" s="47"/>
      <c r="I4" s="47"/>
      <c r="J4" s="47"/>
    </row>
    <row r="5" spans="1:10" ht="45" x14ac:dyDescent="0.25">
      <c r="A5" s="3" t="s">
        <v>159</v>
      </c>
      <c r="B5" s="3" t="s">
        <v>160</v>
      </c>
      <c r="C5" s="3" t="s">
        <v>161</v>
      </c>
      <c r="D5" s="3" t="s">
        <v>162</v>
      </c>
      <c r="E5" s="3" t="s">
        <v>163</v>
      </c>
      <c r="F5" s="3" t="s">
        <v>164</v>
      </c>
      <c r="G5" s="3" t="s">
        <v>165</v>
      </c>
      <c r="H5" s="3" t="s">
        <v>166</v>
      </c>
      <c r="I5" s="43" t="s">
        <v>182</v>
      </c>
    </row>
    <row r="6" spans="1:10" ht="45" x14ac:dyDescent="0.25">
      <c r="A6" s="11">
        <v>1</v>
      </c>
      <c r="B6" s="6" t="s">
        <v>158</v>
      </c>
      <c r="C6" s="6" t="s">
        <v>0</v>
      </c>
      <c r="D6" s="6" t="s">
        <v>1</v>
      </c>
      <c r="E6" s="7">
        <v>42824</v>
      </c>
      <c r="F6" s="6" t="s">
        <v>2</v>
      </c>
      <c r="G6" s="6" t="s">
        <v>3</v>
      </c>
      <c r="H6" s="37">
        <v>43814</v>
      </c>
      <c r="I6" s="8"/>
    </row>
    <row r="7" spans="1:10" ht="45" x14ac:dyDescent="0.25">
      <c r="A7" s="11">
        <v>2</v>
      </c>
      <c r="B7" s="9" t="s">
        <v>6</v>
      </c>
      <c r="C7" s="9" t="s">
        <v>7</v>
      </c>
      <c r="D7" s="9" t="s">
        <v>1</v>
      </c>
      <c r="E7" s="10">
        <v>41348</v>
      </c>
      <c r="F7" s="9" t="s">
        <v>8</v>
      </c>
      <c r="G7" s="9" t="s">
        <v>3</v>
      </c>
      <c r="H7" s="10">
        <v>44515</v>
      </c>
      <c r="I7" s="8"/>
    </row>
    <row r="8" spans="1:10" ht="45" x14ac:dyDescent="0.25">
      <c r="A8" s="11">
        <v>3</v>
      </c>
      <c r="B8" s="6" t="s">
        <v>9</v>
      </c>
      <c r="C8" s="6" t="s">
        <v>10</v>
      </c>
      <c r="D8" s="6" t="s">
        <v>11</v>
      </c>
      <c r="E8" s="7">
        <v>41342</v>
      </c>
      <c r="F8" s="6" t="s">
        <v>12</v>
      </c>
      <c r="G8" s="6" t="s">
        <v>3</v>
      </c>
      <c r="H8" s="7">
        <v>39666</v>
      </c>
      <c r="I8" s="8"/>
    </row>
    <row r="9" spans="1:10" ht="45" x14ac:dyDescent="0.25">
      <c r="A9" s="11">
        <v>4</v>
      </c>
      <c r="B9" s="9" t="s">
        <v>29</v>
      </c>
      <c r="C9" s="9" t="s">
        <v>30</v>
      </c>
      <c r="D9" s="9" t="s">
        <v>11</v>
      </c>
      <c r="E9" s="10">
        <v>43879</v>
      </c>
      <c r="F9" s="9" t="s">
        <v>12</v>
      </c>
      <c r="G9" s="6" t="s">
        <v>3</v>
      </c>
      <c r="H9" s="10">
        <v>44713</v>
      </c>
      <c r="I9" s="8"/>
    </row>
    <row r="10" spans="1:10" ht="45" x14ac:dyDescent="0.25">
      <c r="A10" s="11">
        <v>5</v>
      </c>
      <c r="B10" s="9" t="s">
        <v>133</v>
      </c>
      <c r="C10" s="9" t="s">
        <v>134</v>
      </c>
      <c r="D10" s="9" t="s">
        <v>1</v>
      </c>
      <c r="E10" s="10">
        <v>44887</v>
      </c>
      <c r="F10" s="9" t="s">
        <v>2</v>
      </c>
      <c r="G10" s="9" t="s">
        <v>3</v>
      </c>
      <c r="H10" s="10">
        <v>45469</v>
      </c>
      <c r="I10" s="8"/>
    </row>
    <row r="11" spans="1:10" ht="30" customHeight="1" x14ac:dyDescent="0.25">
      <c r="A11" s="11">
        <v>6</v>
      </c>
      <c r="B11" s="2" t="s">
        <v>193</v>
      </c>
      <c r="C11" s="2" t="s">
        <v>194</v>
      </c>
      <c r="D11" s="2" t="s">
        <v>178</v>
      </c>
      <c r="E11" s="38">
        <v>39615</v>
      </c>
      <c r="F11" s="2" t="s">
        <v>96</v>
      </c>
      <c r="G11" s="6" t="s">
        <v>195</v>
      </c>
      <c r="H11" s="38">
        <v>45785</v>
      </c>
      <c r="I11" s="2"/>
    </row>
    <row r="12" spans="1:10" ht="48" customHeight="1" x14ac:dyDescent="0.25">
      <c r="A12" s="11">
        <v>7</v>
      </c>
      <c r="B12" s="2" t="s">
        <v>208</v>
      </c>
      <c r="C12" s="2" t="s">
        <v>209</v>
      </c>
      <c r="D12" s="11" t="s">
        <v>210</v>
      </c>
      <c r="E12" s="38">
        <v>45876</v>
      </c>
      <c r="F12" s="2" t="s">
        <v>49</v>
      </c>
      <c r="G12" s="6" t="s">
        <v>3</v>
      </c>
      <c r="H12" s="38">
        <v>45866</v>
      </c>
      <c r="I12" s="2"/>
    </row>
    <row r="13" spans="1:10" ht="30" x14ac:dyDescent="0.25">
      <c r="A13" s="11">
        <v>8</v>
      </c>
      <c r="B13" s="9" t="s">
        <v>25</v>
      </c>
      <c r="C13" s="9" t="s">
        <v>26</v>
      </c>
      <c r="D13" s="9" t="s">
        <v>15</v>
      </c>
      <c r="E13" s="10">
        <v>38374</v>
      </c>
      <c r="F13" s="9" t="s">
        <v>2</v>
      </c>
      <c r="G13" s="9" t="s">
        <v>16</v>
      </c>
      <c r="H13" s="10">
        <v>44527</v>
      </c>
      <c r="I13" s="8"/>
    </row>
    <row r="14" spans="1:10" ht="30" x14ac:dyDescent="0.25">
      <c r="A14" s="11">
        <v>9</v>
      </c>
      <c r="B14" s="6" t="s">
        <v>22</v>
      </c>
      <c r="C14" s="6" t="s">
        <v>23</v>
      </c>
      <c r="D14" s="6" t="s">
        <v>24</v>
      </c>
      <c r="E14" s="7">
        <v>41878</v>
      </c>
      <c r="F14" s="6" t="s">
        <v>2</v>
      </c>
      <c r="G14" s="6" t="s">
        <v>16</v>
      </c>
      <c r="H14" s="7">
        <v>43650</v>
      </c>
      <c r="I14" s="8"/>
    </row>
    <row r="15" spans="1:10" ht="30" x14ac:dyDescent="0.25">
      <c r="A15" s="11">
        <v>10</v>
      </c>
      <c r="B15" s="9" t="s">
        <v>13</v>
      </c>
      <c r="C15" s="9" t="s">
        <v>14</v>
      </c>
      <c r="D15" s="9" t="s">
        <v>15</v>
      </c>
      <c r="E15" s="10">
        <v>44662</v>
      </c>
      <c r="F15" s="9" t="s">
        <v>2</v>
      </c>
      <c r="G15" s="9" t="s">
        <v>16</v>
      </c>
      <c r="H15" s="10">
        <v>44713</v>
      </c>
      <c r="I15" s="8"/>
    </row>
    <row r="16" spans="1:10" ht="30" x14ac:dyDescent="0.25">
      <c r="A16" s="11">
        <v>11</v>
      </c>
      <c r="B16" s="9" t="s">
        <v>19</v>
      </c>
      <c r="C16" s="9" t="s">
        <v>20</v>
      </c>
      <c r="D16" s="9" t="s">
        <v>15</v>
      </c>
      <c r="E16" s="10">
        <v>40661</v>
      </c>
      <c r="F16" s="9" t="s">
        <v>21</v>
      </c>
      <c r="G16" s="9" t="s">
        <v>16</v>
      </c>
      <c r="H16" s="10">
        <v>45108</v>
      </c>
      <c r="I16" s="8"/>
    </row>
    <row r="17" spans="1:9" ht="30" x14ac:dyDescent="0.25">
      <c r="A17" s="11">
        <v>12</v>
      </c>
      <c r="B17" s="6" t="s">
        <v>27</v>
      </c>
      <c r="C17" s="6" t="s">
        <v>28</v>
      </c>
      <c r="D17" s="6" t="s">
        <v>15</v>
      </c>
      <c r="E17" s="7">
        <v>42650</v>
      </c>
      <c r="F17" s="6" t="s">
        <v>2</v>
      </c>
      <c r="G17" s="6" t="s">
        <v>16</v>
      </c>
      <c r="H17" s="7">
        <v>45107</v>
      </c>
      <c r="I17" s="8"/>
    </row>
    <row r="18" spans="1:9" ht="30" x14ac:dyDescent="0.25">
      <c r="A18" s="11">
        <v>13</v>
      </c>
      <c r="B18" s="9" t="s">
        <v>32</v>
      </c>
      <c r="C18" s="9" t="s">
        <v>33</v>
      </c>
      <c r="D18" s="9" t="s">
        <v>15</v>
      </c>
      <c r="E18" s="10">
        <v>38824</v>
      </c>
      <c r="F18" s="9" t="s">
        <v>2</v>
      </c>
      <c r="G18" s="9" t="s">
        <v>16</v>
      </c>
      <c r="H18" s="10">
        <v>45444</v>
      </c>
      <c r="I18" s="8"/>
    </row>
    <row r="19" spans="1:9" ht="30" x14ac:dyDescent="0.25">
      <c r="A19" s="11">
        <v>14</v>
      </c>
      <c r="B19" s="6" t="s">
        <v>34</v>
      </c>
      <c r="C19" s="6" t="s">
        <v>35</v>
      </c>
      <c r="D19" s="6" t="s">
        <v>15</v>
      </c>
      <c r="E19" s="7">
        <v>42202</v>
      </c>
      <c r="F19" s="6" t="s">
        <v>2</v>
      </c>
      <c r="G19" s="6" t="s">
        <v>16</v>
      </c>
      <c r="H19" s="7">
        <v>44862</v>
      </c>
      <c r="I19" s="8"/>
    </row>
    <row r="20" spans="1:9" ht="30" x14ac:dyDescent="0.25">
      <c r="A20" s="11">
        <v>15</v>
      </c>
      <c r="B20" s="9" t="s">
        <v>36</v>
      </c>
      <c r="C20" s="9" t="s">
        <v>37</v>
      </c>
      <c r="D20" s="9" t="s">
        <v>15</v>
      </c>
      <c r="E20" s="10">
        <v>36805</v>
      </c>
      <c r="F20" s="9" t="s">
        <v>2</v>
      </c>
      <c r="G20" s="9" t="s">
        <v>16</v>
      </c>
      <c r="H20" s="10">
        <v>45474</v>
      </c>
      <c r="I20" s="8"/>
    </row>
    <row r="21" spans="1:9" ht="30" x14ac:dyDescent="0.25">
      <c r="A21" s="11">
        <v>16</v>
      </c>
      <c r="B21" s="6" t="s">
        <v>38</v>
      </c>
      <c r="C21" s="6" t="s">
        <v>39</v>
      </c>
      <c r="D21" s="6" t="s">
        <v>15</v>
      </c>
      <c r="E21" s="7">
        <v>42661</v>
      </c>
      <c r="F21" s="6" t="s">
        <v>2</v>
      </c>
      <c r="G21" s="6" t="s">
        <v>16</v>
      </c>
      <c r="H21" s="7">
        <v>45416</v>
      </c>
      <c r="I21" s="8"/>
    </row>
    <row r="22" spans="1:9" ht="30" x14ac:dyDescent="0.25">
      <c r="A22" s="11">
        <v>17</v>
      </c>
      <c r="B22" s="6" t="s">
        <v>41</v>
      </c>
      <c r="C22" s="6" t="s">
        <v>42</v>
      </c>
      <c r="D22" s="6" t="s">
        <v>15</v>
      </c>
      <c r="E22" s="7">
        <v>39323</v>
      </c>
      <c r="F22" s="6" t="s">
        <v>12</v>
      </c>
      <c r="G22" s="6" t="s">
        <v>16</v>
      </c>
      <c r="H22" s="7">
        <v>40771</v>
      </c>
      <c r="I22" s="8"/>
    </row>
    <row r="23" spans="1:9" ht="30" x14ac:dyDescent="0.25">
      <c r="A23" s="11">
        <v>18</v>
      </c>
      <c r="B23" s="9" t="s">
        <v>43</v>
      </c>
      <c r="C23" s="9" t="s">
        <v>44</v>
      </c>
      <c r="D23" s="9" t="s">
        <v>15</v>
      </c>
      <c r="E23" s="10">
        <v>38605</v>
      </c>
      <c r="F23" s="9" t="s">
        <v>12</v>
      </c>
      <c r="G23" s="9" t="s">
        <v>16</v>
      </c>
      <c r="H23" s="10">
        <v>42186</v>
      </c>
      <c r="I23" s="8"/>
    </row>
    <row r="24" spans="1:9" ht="30" x14ac:dyDescent="0.25">
      <c r="A24" s="11">
        <v>19</v>
      </c>
      <c r="B24" s="6" t="s">
        <v>45</v>
      </c>
      <c r="C24" s="6" t="s">
        <v>46</v>
      </c>
      <c r="D24" s="6" t="s">
        <v>15</v>
      </c>
      <c r="E24" s="7">
        <v>42842</v>
      </c>
      <c r="F24" s="6" t="s">
        <v>12</v>
      </c>
      <c r="G24" s="6" t="s">
        <v>16</v>
      </c>
      <c r="H24" s="7">
        <v>45117</v>
      </c>
      <c r="I24" s="8"/>
    </row>
    <row r="25" spans="1:9" ht="30" x14ac:dyDescent="0.25">
      <c r="A25" s="11">
        <v>20</v>
      </c>
      <c r="B25" s="9" t="s">
        <v>47</v>
      </c>
      <c r="C25" s="9" t="s">
        <v>48</v>
      </c>
      <c r="D25" s="9" t="s">
        <v>15</v>
      </c>
      <c r="E25" s="10">
        <v>44652</v>
      </c>
      <c r="F25" s="9" t="s">
        <v>49</v>
      </c>
      <c r="G25" s="9" t="s">
        <v>16</v>
      </c>
      <c r="H25" s="10">
        <v>44707</v>
      </c>
      <c r="I25" s="8"/>
    </row>
    <row r="26" spans="1:9" ht="30" x14ac:dyDescent="0.25">
      <c r="A26" s="11">
        <v>21</v>
      </c>
      <c r="B26" s="9" t="s">
        <v>53</v>
      </c>
      <c r="C26" s="9" t="s">
        <v>54</v>
      </c>
      <c r="D26" s="9" t="s">
        <v>15</v>
      </c>
      <c r="E26" s="10">
        <v>40644</v>
      </c>
      <c r="F26" s="9" t="s">
        <v>49</v>
      </c>
      <c r="G26" s="9" t="s">
        <v>16</v>
      </c>
      <c r="H26" s="10">
        <v>45103</v>
      </c>
      <c r="I26" s="8"/>
    </row>
    <row r="27" spans="1:9" ht="30" x14ac:dyDescent="0.25">
      <c r="A27" s="11">
        <v>22</v>
      </c>
      <c r="B27" s="6" t="s">
        <v>55</v>
      </c>
      <c r="C27" s="6" t="s">
        <v>56</v>
      </c>
      <c r="D27" s="6" t="s">
        <v>15</v>
      </c>
      <c r="E27" s="7">
        <v>42888</v>
      </c>
      <c r="F27" s="6" t="s">
        <v>49</v>
      </c>
      <c r="G27" s="6" t="s">
        <v>16</v>
      </c>
      <c r="H27" s="7">
        <v>44433</v>
      </c>
      <c r="I27" s="8"/>
    </row>
    <row r="28" spans="1:9" ht="30" x14ac:dyDescent="0.25">
      <c r="A28" s="11">
        <v>23</v>
      </c>
      <c r="B28" s="6" t="s">
        <v>58</v>
      </c>
      <c r="C28" s="6" t="s">
        <v>59</v>
      </c>
      <c r="D28" s="6" t="s">
        <v>15</v>
      </c>
      <c r="E28" s="7">
        <v>40651</v>
      </c>
      <c r="F28" s="6" t="s">
        <v>2</v>
      </c>
      <c r="G28" s="6" t="s">
        <v>16</v>
      </c>
      <c r="H28" s="7">
        <v>44716</v>
      </c>
      <c r="I28" s="8"/>
    </row>
    <row r="29" spans="1:9" ht="30" x14ac:dyDescent="0.25">
      <c r="A29" s="11">
        <v>24</v>
      </c>
      <c r="B29" s="9" t="s">
        <v>60</v>
      </c>
      <c r="C29" s="9" t="s">
        <v>61</v>
      </c>
      <c r="D29" s="9" t="s">
        <v>15</v>
      </c>
      <c r="E29" s="10">
        <v>39660</v>
      </c>
      <c r="F29" s="9" t="s">
        <v>12</v>
      </c>
      <c r="G29" s="9" t="s">
        <v>16</v>
      </c>
      <c r="H29" s="10">
        <v>44508</v>
      </c>
      <c r="I29" s="8"/>
    </row>
    <row r="30" spans="1:9" ht="30" x14ac:dyDescent="0.25">
      <c r="A30" s="11">
        <v>25</v>
      </c>
      <c r="B30" s="6" t="s">
        <v>63</v>
      </c>
      <c r="C30" s="6" t="s">
        <v>64</v>
      </c>
      <c r="D30" s="6" t="s">
        <v>15</v>
      </c>
      <c r="E30" s="7">
        <v>40562</v>
      </c>
      <c r="F30" s="6" t="s">
        <v>49</v>
      </c>
      <c r="G30" s="6" t="s">
        <v>16</v>
      </c>
      <c r="H30" s="7">
        <v>42095</v>
      </c>
      <c r="I30" s="8"/>
    </row>
    <row r="31" spans="1:9" ht="30" x14ac:dyDescent="0.25">
      <c r="A31" s="11">
        <v>26</v>
      </c>
      <c r="B31" s="6" t="s">
        <v>68</v>
      </c>
      <c r="C31" s="6" t="s">
        <v>69</v>
      </c>
      <c r="D31" s="6" t="s">
        <v>15</v>
      </c>
      <c r="E31" s="7">
        <v>38474</v>
      </c>
      <c r="F31" s="6" t="s">
        <v>49</v>
      </c>
      <c r="G31" s="6" t="s">
        <v>16</v>
      </c>
      <c r="H31" s="7">
        <v>42879</v>
      </c>
      <c r="I31" s="8"/>
    </row>
    <row r="32" spans="1:9" ht="30" x14ac:dyDescent="0.25">
      <c r="A32" s="11">
        <v>27</v>
      </c>
      <c r="B32" s="6" t="s">
        <v>72</v>
      </c>
      <c r="C32" s="6" t="s">
        <v>73</v>
      </c>
      <c r="D32" s="6" t="s">
        <v>71</v>
      </c>
      <c r="E32" s="7">
        <v>39325</v>
      </c>
      <c r="F32" s="6" t="s">
        <v>67</v>
      </c>
      <c r="G32" s="6" t="s">
        <v>16</v>
      </c>
      <c r="H32" s="7">
        <v>45132</v>
      </c>
      <c r="I32" s="8"/>
    </row>
    <row r="33" spans="1:9" ht="30" x14ac:dyDescent="0.25">
      <c r="A33" s="11">
        <v>28</v>
      </c>
      <c r="B33" s="6" t="s">
        <v>75</v>
      </c>
      <c r="C33" s="6" t="s">
        <v>76</v>
      </c>
      <c r="D33" s="6" t="s">
        <v>71</v>
      </c>
      <c r="E33" s="7">
        <v>39359</v>
      </c>
      <c r="F33" s="6" t="s">
        <v>67</v>
      </c>
      <c r="G33" s="6" t="s">
        <v>16</v>
      </c>
      <c r="H33" s="7">
        <v>44223</v>
      </c>
      <c r="I33" s="8"/>
    </row>
    <row r="34" spans="1:9" ht="30" x14ac:dyDescent="0.25">
      <c r="A34" s="11">
        <v>29</v>
      </c>
      <c r="B34" s="9" t="s">
        <v>77</v>
      </c>
      <c r="C34" s="9" t="s">
        <v>78</v>
      </c>
      <c r="D34" s="9" t="s">
        <v>15</v>
      </c>
      <c r="E34" s="10">
        <v>43196</v>
      </c>
      <c r="F34" s="9" t="s">
        <v>2</v>
      </c>
      <c r="G34" s="9" t="s">
        <v>16</v>
      </c>
      <c r="H34" s="10">
        <v>45444</v>
      </c>
      <c r="I34" s="8"/>
    </row>
    <row r="35" spans="1:9" ht="30" x14ac:dyDescent="0.25">
      <c r="A35" s="11">
        <v>30</v>
      </c>
      <c r="B35" s="6" t="s">
        <v>79</v>
      </c>
      <c r="C35" s="6" t="s">
        <v>80</v>
      </c>
      <c r="D35" s="6" t="s">
        <v>71</v>
      </c>
      <c r="E35" s="7">
        <v>41379</v>
      </c>
      <c r="F35" s="6" t="s">
        <v>67</v>
      </c>
      <c r="G35" s="6" t="s">
        <v>16</v>
      </c>
      <c r="H35" s="7">
        <v>44652</v>
      </c>
      <c r="I35" s="8"/>
    </row>
    <row r="36" spans="1:9" ht="30" x14ac:dyDescent="0.25">
      <c r="A36" s="11">
        <v>31</v>
      </c>
      <c r="B36" s="9" t="s">
        <v>81</v>
      </c>
      <c r="C36" s="9" t="s">
        <v>82</v>
      </c>
      <c r="D36" s="9" t="s">
        <v>71</v>
      </c>
      <c r="E36" s="10">
        <v>40005</v>
      </c>
      <c r="F36" s="9" t="s">
        <v>67</v>
      </c>
      <c r="G36" s="9" t="s">
        <v>16</v>
      </c>
      <c r="H36" s="10">
        <v>43643</v>
      </c>
      <c r="I36" s="8"/>
    </row>
    <row r="37" spans="1:9" ht="30" x14ac:dyDescent="0.25">
      <c r="A37" s="11">
        <v>32</v>
      </c>
      <c r="B37" s="6" t="s">
        <v>83</v>
      </c>
      <c r="C37" s="6" t="s">
        <v>84</v>
      </c>
      <c r="D37" s="6" t="s">
        <v>71</v>
      </c>
      <c r="E37" s="7">
        <v>36025</v>
      </c>
      <c r="F37" s="6" t="s">
        <v>67</v>
      </c>
      <c r="G37" s="6" t="s">
        <v>16</v>
      </c>
      <c r="H37" s="7">
        <v>40010</v>
      </c>
      <c r="I37" s="8"/>
    </row>
    <row r="38" spans="1:9" ht="30" x14ac:dyDescent="0.25">
      <c r="A38" s="11">
        <v>33</v>
      </c>
      <c r="B38" s="6" t="s">
        <v>86</v>
      </c>
      <c r="C38" s="6" t="s">
        <v>87</v>
      </c>
      <c r="D38" s="6" t="s">
        <v>15</v>
      </c>
      <c r="E38" s="7">
        <v>38632</v>
      </c>
      <c r="F38" s="6" t="s">
        <v>49</v>
      </c>
      <c r="G38" s="6" t="s">
        <v>16</v>
      </c>
      <c r="H38" s="7">
        <v>44757</v>
      </c>
      <c r="I38" s="8"/>
    </row>
    <row r="39" spans="1:9" ht="52.5" customHeight="1" x14ac:dyDescent="0.25">
      <c r="A39" s="11">
        <v>34</v>
      </c>
      <c r="B39" s="9" t="s">
        <v>88</v>
      </c>
      <c r="C39" s="9" t="s">
        <v>89</v>
      </c>
      <c r="D39" s="9" t="s">
        <v>90</v>
      </c>
      <c r="E39" s="10">
        <v>42808</v>
      </c>
      <c r="F39" s="9" t="s">
        <v>91</v>
      </c>
      <c r="G39" s="9" t="s">
        <v>16</v>
      </c>
      <c r="H39" s="10">
        <v>43810</v>
      </c>
      <c r="I39" s="8"/>
    </row>
    <row r="40" spans="1:9" ht="30" x14ac:dyDescent="0.25">
      <c r="A40" s="11">
        <v>35</v>
      </c>
      <c r="B40" s="9" t="s">
        <v>100</v>
      </c>
      <c r="C40" s="9" t="s">
        <v>101</v>
      </c>
      <c r="D40" s="9" t="s">
        <v>90</v>
      </c>
      <c r="E40" s="10">
        <v>43694</v>
      </c>
      <c r="F40" s="9" t="s">
        <v>96</v>
      </c>
      <c r="G40" s="9" t="s">
        <v>16</v>
      </c>
      <c r="H40" s="10">
        <v>43755</v>
      </c>
      <c r="I40" s="8"/>
    </row>
    <row r="41" spans="1:9" ht="30" x14ac:dyDescent="0.25">
      <c r="A41" s="11">
        <v>36</v>
      </c>
      <c r="B41" s="6" t="s">
        <v>102</v>
      </c>
      <c r="C41" s="6" t="s">
        <v>103</v>
      </c>
      <c r="D41" s="6" t="s">
        <v>90</v>
      </c>
      <c r="E41" s="7">
        <v>42926</v>
      </c>
      <c r="F41" s="6" t="s">
        <v>104</v>
      </c>
      <c r="G41" s="6" t="s">
        <v>16</v>
      </c>
      <c r="H41" s="7">
        <v>45444</v>
      </c>
      <c r="I41" s="8"/>
    </row>
    <row r="42" spans="1:9" ht="30" x14ac:dyDescent="0.25">
      <c r="A42" s="11">
        <v>37</v>
      </c>
      <c r="B42" s="9" t="s">
        <v>105</v>
      </c>
      <c r="C42" s="9" t="s">
        <v>106</v>
      </c>
      <c r="D42" s="9" t="s">
        <v>90</v>
      </c>
      <c r="E42" s="10">
        <v>43493</v>
      </c>
      <c r="F42" s="9" t="s">
        <v>104</v>
      </c>
      <c r="G42" s="9" t="s">
        <v>16</v>
      </c>
      <c r="H42" s="10">
        <v>45444</v>
      </c>
      <c r="I42" s="8"/>
    </row>
    <row r="43" spans="1:9" ht="30" x14ac:dyDescent="0.25">
      <c r="A43" s="11">
        <v>38</v>
      </c>
      <c r="B43" s="6" t="s">
        <v>107</v>
      </c>
      <c r="C43" s="6" t="s">
        <v>108</v>
      </c>
      <c r="D43" s="6" t="s">
        <v>15</v>
      </c>
      <c r="E43" s="7">
        <v>39985</v>
      </c>
      <c r="F43" s="6" t="s">
        <v>104</v>
      </c>
      <c r="G43" s="6" t="s">
        <v>16</v>
      </c>
      <c r="H43" s="7">
        <v>44652</v>
      </c>
      <c r="I43" s="8"/>
    </row>
    <row r="44" spans="1:9" ht="30" x14ac:dyDescent="0.25">
      <c r="A44" s="11">
        <v>39</v>
      </c>
      <c r="B44" s="9" t="s">
        <v>109</v>
      </c>
      <c r="C44" s="9" t="s">
        <v>110</v>
      </c>
      <c r="D44" s="9" t="s">
        <v>90</v>
      </c>
      <c r="E44" s="10">
        <v>43403</v>
      </c>
      <c r="F44" s="9" t="s">
        <v>111</v>
      </c>
      <c r="G44" s="9" t="s">
        <v>16</v>
      </c>
      <c r="H44" s="10">
        <v>44662</v>
      </c>
      <c r="I44" s="8"/>
    </row>
    <row r="45" spans="1:9" ht="30" x14ac:dyDescent="0.25">
      <c r="A45" s="11">
        <v>40</v>
      </c>
      <c r="B45" s="6" t="s">
        <v>112</v>
      </c>
      <c r="C45" s="6" t="s">
        <v>113</v>
      </c>
      <c r="D45" s="6" t="s">
        <v>90</v>
      </c>
      <c r="E45" s="7">
        <v>32055</v>
      </c>
      <c r="F45" s="6" t="s">
        <v>111</v>
      </c>
      <c r="G45" s="6" t="s">
        <v>16</v>
      </c>
      <c r="H45" s="7">
        <v>44151</v>
      </c>
      <c r="I45" s="8"/>
    </row>
    <row r="46" spans="1:9" ht="30" x14ac:dyDescent="0.25">
      <c r="A46" s="11">
        <v>41</v>
      </c>
      <c r="B46" s="9" t="s">
        <v>114</v>
      </c>
      <c r="C46" s="9" t="s">
        <v>115</v>
      </c>
      <c r="D46" s="9" t="s">
        <v>90</v>
      </c>
      <c r="E46" s="10">
        <v>43325</v>
      </c>
      <c r="F46" s="9" t="s">
        <v>111</v>
      </c>
      <c r="G46" s="9" t="s">
        <v>16</v>
      </c>
      <c r="H46" s="10">
        <v>44151</v>
      </c>
      <c r="I46" s="8"/>
    </row>
    <row r="47" spans="1:9" ht="30" x14ac:dyDescent="0.25">
      <c r="A47" s="11">
        <v>42</v>
      </c>
      <c r="B47" s="6" t="s">
        <v>117</v>
      </c>
      <c r="C47" s="6" t="s">
        <v>118</v>
      </c>
      <c r="D47" s="6" t="s">
        <v>119</v>
      </c>
      <c r="E47" s="7">
        <v>44419</v>
      </c>
      <c r="F47" s="6" t="s">
        <v>104</v>
      </c>
      <c r="G47" s="6" t="s">
        <v>16</v>
      </c>
      <c r="H47" s="7">
        <v>45448</v>
      </c>
      <c r="I47" s="8"/>
    </row>
    <row r="48" spans="1:9" ht="30" x14ac:dyDescent="0.25">
      <c r="A48" s="11">
        <v>43</v>
      </c>
      <c r="B48" s="9" t="s">
        <v>120</v>
      </c>
      <c r="C48" s="9" t="s">
        <v>121</v>
      </c>
      <c r="D48" s="9" t="s">
        <v>119</v>
      </c>
      <c r="E48" s="10">
        <v>42076</v>
      </c>
      <c r="F48" s="9" t="s">
        <v>122</v>
      </c>
      <c r="G48" s="9" t="s">
        <v>16</v>
      </c>
      <c r="H48" s="10">
        <v>45448</v>
      </c>
      <c r="I48" s="8"/>
    </row>
    <row r="49" spans="1:9" ht="30" x14ac:dyDescent="0.25">
      <c r="A49" s="11">
        <v>44</v>
      </c>
      <c r="B49" s="9" t="s">
        <v>136</v>
      </c>
      <c r="C49" s="9" t="s">
        <v>137</v>
      </c>
      <c r="D49" s="9" t="s">
        <v>90</v>
      </c>
      <c r="E49" s="10">
        <v>42166</v>
      </c>
      <c r="F49" s="9" t="s">
        <v>104</v>
      </c>
      <c r="G49" s="9" t="s">
        <v>16</v>
      </c>
      <c r="H49" s="10">
        <v>43796</v>
      </c>
      <c r="I49" s="8"/>
    </row>
    <row r="50" spans="1:9" ht="30" x14ac:dyDescent="0.25">
      <c r="A50" s="11">
        <v>45</v>
      </c>
      <c r="B50" s="6" t="s">
        <v>138</v>
      </c>
      <c r="C50" s="6" t="s">
        <v>139</v>
      </c>
      <c r="D50" s="6" t="s">
        <v>90</v>
      </c>
      <c r="E50" s="7">
        <v>42809</v>
      </c>
      <c r="F50" s="6" t="s">
        <v>104</v>
      </c>
      <c r="G50" s="6" t="s">
        <v>16</v>
      </c>
      <c r="H50" s="7">
        <v>44720</v>
      </c>
      <c r="I50" s="8"/>
    </row>
    <row r="51" spans="1:9" ht="30" x14ac:dyDescent="0.25">
      <c r="A51" s="11">
        <v>46</v>
      </c>
      <c r="B51" s="9" t="s">
        <v>140</v>
      </c>
      <c r="C51" s="9" t="s">
        <v>141</v>
      </c>
      <c r="D51" s="9" t="s">
        <v>90</v>
      </c>
      <c r="E51" s="10">
        <v>43755</v>
      </c>
      <c r="F51" s="9" t="s">
        <v>104</v>
      </c>
      <c r="G51" s="9" t="s">
        <v>16</v>
      </c>
      <c r="H51" s="10">
        <v>44736</v>
      </c>
      <c r="I51" s="8"/>
    </row>
    <row r="52" spans="1:9" ht="30" x14ac:dyDescent="0.25">
      <c r="A52" s="11">
        <v>47</v>
      </c>
      <c r="B52" s="6" t="s">
        <v>142</v>
      </c>
      <c r="C52" s="6" t="s">
        <v>143</v>
      </c>
      <c r="D52" s="6" t="s">
        <v>90</v>
      </c>
      <c r="E52" s="7">
        <v>41786</v>
      </c>
      <c r="F52" s="6" t="s">
        <v>104</v>
      </c>
      <c r="G52" s="6" t="s">
        <v>16</v>
      </c>
      <c r="H52" s="7">
        <v>42891</v>
      </c>
      <c r="I52" s="8"/>
    </row>
    <row r="53" spans="1:9" ht="30" x14ac:dyDescent="0.25">
      <c r="A53" s="11">
        <v>48</v>
      </c>
      <c r="B53" s="9" t="s">
        <v>144</v>
      </c>
      <c r="C53" s="9" t="s">
        <v>145</v>
      </c>
      <c r="D53" s="9" t="s">
        <v>15</v>
      </c>
      <c r="E53" s="10">
        <v>39367</v>
      </c>
      <c r="F53" s="9" t="s">
        <v>12</v>
      </c>
      <c r="G53" s="9" t="s">
        <v>16</v>
      </c>
      <c r="H53" s="10">
        <v>45485</v>
      </c>
      <c r="I53" s="8"/>
    </row>
    <row r="54" spans="1:9" ht="30" x14ac:dyDescent="0.25">
      <c r="A54" s="11">
        <v>49</v>
      </c>
      <c r="B54" s="6" t="s">
        <v>146</v>
      </c>
      <c r="C54" s="6" t="s">
        <v>147</v>
      </c>
      <c r="D54" s="6" t="s">
        <v>119</v>
      </c>
      <c r="E54" s="7">
        <v>40085</v>
      </c>
      <c r="F54" s="6" t="s">
        <v>104</v>
      </c>
      <c r="G54" s="6" t="s">
        <v>16</v>
      </c>
      <c r="H54" s="7">
        <v>44739</v>
      </c>
      <c r="I54" s="8"/>
    </row>
    <row r="55" spans="1:9" ht="30" x14ac:dyDescent="0.25">
      <c r="A55" s="11">
        <v>50</v>
      </c>
      <c r="B55" s="9" t="s">
        <v>148</v>
      </c>
      <c r="C55" s="9" t="s">
        <v>149</v>
      </c>
      <c r="D55" s="9" t="s">
        <v>15</v>
      </c>
      <c r="E55" s="10">
        <v>40663</v>
      </c>
      <c r="F55" s="9" t="s">
        <v>49</v>
      </c>
      <c r="G55" s="9" t="s">
        <v>16</v>
      </c>
      <c r="H55" s="10">
        <v>45129</v>
      </c>
      <c r="I55" s="8"/>
    </row>
    <row r="56" spans="1:9" ht="30" x14ac:dyDescent="0.25">
      <c r="A56" s="11">
        <v>51</v>
      </c>
      <c r="B56" s="6" t="s">
        <v>150</v>
      </c>
      <c r="C56" s="6" t="s">
        <v>151</v>
      </c>
      <c r="D56" s="6" t="s">
        <v>15</v>
      </c>
      <c r="E56" s="7">
        <v>40308</v>
      </c>
      <c r="F56" s="6" t="s">
        <v>49</v>
      </c>
      <c r="G56" s="6" t="s">
        <v>16</v>
      </c>
      <c r="H56" s="7">
        <v>44733</v>
      </c>
      <c r="I56" s="8"/>
    </row>
    <row r="57" spans="1:9" ht="30" x14ac:dyDescent="0.25">
      <c r="A57" s="11">
        <v>52</v>
      </c>
      <c r="B57" s="9" t="s">
        <v>152</v>
      </c>
      <c r="C57" s="9" t="s">
        <v>153</v>
      </c>
      <c r="D57" s="9" t="s">
        <v>90</v>
      </c>
      <c r="E57" s="10">
        <v>45134</v>
      </c>
      <c r="F57" s="9" t="s">
        <v>96</v>
      </c>
      <c r="G57" s="9" t="s">
        <v>16</v>
      </c>
      <c r="H57" s="10">
        <v>45138</v>
      </c>
      <c r="I57" s="8"/>
    </row>
    <row r="58" spans="1:9" ht="30" x14ac:dyDescent="0.25">
      <c r="A58" s="11">
        <v>53</v>
      </c>
      <c r="B58" s="6" t="s">
        <v>154</v>
      </c>
      <c r="C58" s="6" t="s">
        <v>155</v>
      </c>
      <c r="D58" s="6" t="s">
        <v>130</v>
      </c>
      <c r="E58" s="7">
        <v>45463</v>
      </c>
      <c r="F58" s="6" t="s">
        <v>131</v>
      </c>
      <c r="G58" s="6" t="s">
        <v>16</v>
      </c>
      <c r="H58" s="7">
        <v>44713</v>
      </c>
      <c r="I58" s="8"/>
    </row>
    <row r="59" spans="1:9" ht="30" x14ac:dyDescent="0.25">
      <c r="A59" s="11">
        <v>54</v>
      </c>
      <c r="B59" s="9" t="s">
        <v>156</v>
      </c>
      <c r="C59" s="9" t="s">
        <v>157</v>
      </c>
      <c r="D59" s="9" t="s">
        <v>90</v>
      </c>
      <c r="E59" s="10">
        <v>43207</v>
      </c>
      <c r="F59" s="9" t="s">
        <v>96</v>
      </c>
      <c r="G59" s="9" t="s">
        <v>16</v>
      </c>
      <c r="H59" s="10">
        <v>45504</v>
      </c>
      <c r="I59" s="8"/>
    </row>
    <row r="60" spans="1:9" ht="30" x14ac:dyDescent="0.25">
      <c r="A60" s="11">
        <v>55</v>
      </c>
      <c r="B60" s="6" t="s">
        <v>176</v>
      </c>
      <c r="C60" s="6" t="s">
        <v>173</v>
      </c>
      <c r="D60" s="6" t="s">
        <v>178</v>
      </c>
      <c r="E60" s="7">
        <v>42252</v>
      </c>
      <c r="F60" s="6" t="s">
        <v>179</v>
      </c>
      <c r="G60" s="6" t="s">
        <v>3</v>
      </c>
      <c r="H60" s="7">
        <v>39614</v>
      </c>
      <c r="I60" s="8"/>
    </row>
    <row r="61" spans="1:9" ht="30" customHeight="1" x14ac:dyDescent="0.25">
      <c r="A61" s="11">
        <v>56</v>
      </c>
      <c r="B61" s="9" t="s">
        <v>183</v>
      </c>
      <c r="C61" s="2" t="s">
        <v>185</v>
      </c>
      <c r="D61" s="2" t="s">
        <v>184</v>
      </c>
      <c r="E61" s="38">
        <v>42420</v>
      </c>
      <c r="F61" s="2" t="s">
        <v>186</v>
      </c>
      <c r="G61" s="6" t="s">
        <v>16</v>
      </c>
      <c r="H61" s="38">
        <v>45839</v>
      </c>
      <c r="I61" s="2"/>
    </row>
    <row r="62" spans="1:9" ht="30" customHeight="1" x14ac:dyDescent="0.25">
      <c r="A62" s="11">
        <v>57</v>
      </c>
      <c r="B62" s="2" t="s">
        <v>187</v>
      </c>
      <c r="C62" s="2" t="s">
        <v>188</v>
      </c>
      <c r="D62" s="2" t="s">
        <v>184</v>
      </c>
      <c r="E62" s="38">
        <v>43609</v>
      </c>
      <c r="F62" s="2" t="s">
        <v>186</v>
      </c>
      <c r="G62" s="6" t="s">
        <v>16</v>
      </c>
      <c r="H62" s="38">
        <v>45678</v>
      </c>
      <c r="I62" s="2"/>
    </row>
    <row r="63" spans="1:9" ht="30" customHeight="1" x14ac:dyDescent="0.25">
      <c r="A63" s="11">
        <v>58</v>
      </c>
      <c r="B63" s="2" t="s">
        <v>144</v>
      </c>
      <c r="C63" s="2" t="s">
        <v>189</v>
      </c>
      <c r="D63" s="2" t="s">
        <v>190</v>
      </c>
      <c r="E63" s="38">
        <v>39269</v>
      </c>
      <c r="F63" s="2" t="s">
        <v>186</v>
      </c>
      <c r="G63" s="6" t="s">
        <v>16</v>
      </c>
      <c r="H63" s="38">
        <v>45839</v>
      </c>
      <c r="I63" s="2"/>
    </row>
    <row r="64" spans="1:9" ht="30" customHeight="1" x14ac:dyDescent="0.25">
      <c r="A64" s="11">
        <v>59</v>
      </c>
      <c r="B64" s="2" t="s">
        <v>191</v>
      </c>
      <c r="C64" s="2" t="s">
        <v>192</v>
      </c>
      <c r="D64" s="2" t="s">
        <v>71</v>
      </c>
      <c r="E64" s="38">
        <v>43673</v>
      </c>
      <c r="F64" s="2" t="s">
        <v>67</v>
      </c>
      <c r="G64" s="6" t="s">
        <v>16</v>
      </c>
      <c r="H64" s="38">
        <v>45839</v>
      </c>
      <c r="I64" s="2"/>
    </row>
    <row r="65" spans="1:9" ht="30" customHeight="1" x14ac:dyDescent="0.25">
      <c r="A65" s="11">
        <v>60</v>
      </c>
      <c r="B65" s="2" t="s">
        <v>196</v>
      </c>
      <c r="C65" s="2" t="s">
        <v>197</v>
      </c>
      <c r="D65" s="2" t="s">
        <v>90</v>
      </c>
      <c r="E65" s="38">
        <v>42659</v>
      </c>
      <c r="F65" s="2" t="s">
        <v>96</v>
      </c>
      <c r="G65" s="6" t="s">
        <v>16</v>
      </c>
      <c r="H65" s="38">
        <v>45831</v>
      </c>
      <c r="I65" s="2"/>
    </row>
    <row r="66" spans="1:9" ht="30" customHeight="1" x14ac:dyDescent="0.25">
      <c r="A66" s="11">
        <v>61</v>
      </c>
      <c r="B66" s="2" t="s">
        <v>198</v>
      </c>
      <c r="C66" s="39" t="s">
        <v>199</v>
      </c>
      <c r="D66" s="2" t="s">
        <v>184</v>
      </c>
      <c r="E66" s="38">
        <v>40592</v>
      </c>
      <c r="F66" s="2" t="s">
        <v>12</v>
      </c>
      <c r="G66" s="6" t="s">
        <v>16</v>
      </c>
      <c r="H66" s="38">
        <v>45869</v>
      </c>
      <c r="I66" s="2"/>
    </row>
    <row r="67" spans="1:9" ht="30" customHeight="1" x14ac:dyDescent="0.25">
      <c r="A67" s="11">
        <v>62</v>
      </c>
      <c r="B67" s="2" t="s">
        <v>200</v>
      </c>
      <c r="C67" s="2" t="s">
        <v>201</v>
      </c>
      <c r="D67" s="2" t="s">
        <v>184</v>
      </c>
      <c r="E67" s="38">
        <v>45458</v>
      </c>
      <c r="F67" s="2" t="s">
        <v>49</v>
      </c>
      <c r="G67" s="6" t="s">
        <v>16</v>
      </c>
      <c r="H67" s="38">
        <v>45869</v>
      </c>
      <c r="I67" s="2"/>
    </row>
    <row r="68" spans="1:9" ht="30" customHeight="1" x14ac:dyDescent="0.25">
      <c r="A68" s="11">
        <v>63</v>
      </c>
      <c r="B68" s="2" t="s">
        <v>202</v>
      </c>
      <c r="C68" s="40" t="s">
        <v>211</v>
      </c>
      <c r="D68" s="41" t="s">
        <v>71</v>
      </c>
      <c r="E68" s="38">
        <v>40240</v>
      </c>
      <c r="F68" s="2" t="s">
        <v>67</v>
      </c>
      <c r="G68" s="6" t="s">
        <v>16</v>
      </c>
      <c r="H68" s="38">
        <v>45869</v>
      </c>
      <c r="I68" s="2"/>
    </row>
    <row r="69" spans="1:9" ht="30" customHeight="1" x14ac:dyDescent="0.25">
      <c r="A69" s="11">
        <v>64</v>
      </c>
      <c r="B69" s="2" t="s">
        <v>203</v>
      </c>
      <c r="C69" s="2" t="s">
        <v>204</v>
      </c>
      <c r="D69" s="2" t="s">
        <v>174</v>
      </c>
      <c r="E69" s="38">
        <v>43308</v>
      </c>
      <c r="F69" s="2" t="s">
        <v>179</v>
      </c>
      <c r="G69" s="6" t="s">
        <v>3</v>
      </c>
      <c r="H69" s="38">
        <v>45579</v>
      </c>
      <c r="I69" s="2"/>
    </row>
    <row r="70" spans="1:9" ht="30" customHeight="1" x14ac:dyDescent="0.25">
      <c r="A70" s="11">
        <v>65</v>
      </c>
      <c r="B70" s="2" t="s">
        <v>205</v>
      </c>
      <c r="C70" s="2" t="s">
        <v>206</v>
      </c>
      <c r="D70" s="2" t="s">
        <v>207</v>
      </c>
      <c r="E70" s="38">
        <v>42601</v>
      </c>
      <c r="F70" s="2" t="s">
        <v>179</v>
      </c>
      <c r="G70" s="6" t="s">
        <v>16</v>
      </c>
      <c r="H70" s="38">
        <v>44368</v>
      </c>
      <c r="I70" s="2"/>
    </row>
    <row r="71" spans="1:9" ht="49.9" customHeight="1" x14ac:dyDescent="0.25">
      <c r="A71" s="11">
        <v>66</v>
      </c>
      <c r="B71" s="2" t="s">
        <v>212</v>
      </c>
      <c r="C71" s="2" t="s">
        <v>213</v>
      </c>
      <c r="D71" s="2" t="s">
        <v>214</v>
      </c>
      <c r="E71" s="38">
        <v>44541</v>
      </c>
      <c r="F71" s="9" t="s">
        <v>91</v>
      </c>
      <c r="G71" s="6" t="s">
        <v>16</v>
      </c>
      <c r="H71" s="38">
        <v>45836</v>
      </c>
      <c r="I71" s="2"/>
    </row>
    <row r="72" spans="1:9" ht="30" customHeight="1" x14ac:dyDescent="0.25">
      <c r="A72" s="11">
        <v>67</v>
      </c>
      <c r="B72" s="2" t="s">
        <v>215</v>
      </c>
      <c r="C72" s="2" t="s">
        <v>216</v>
      </c>
      <c r="D72" s="2" t="s">
        <v>217</v>
      </c>
      <c r="E72" s="38">
        <v>45469</v>
      </c>
      <c r="F72" s="2" t="s">
        <v>131</v>
      </c>
      <c r="G72" s="6" t="s">
        <v>16</v>
      </c>
      <c r="H72" s="38">
        <v>45925</v>
      </c>
      <c r="I72" s="2"/>
    </row>
    <row r="76" spans="1:9" ht="24.75" customHeight="1" x14ac:dyDescent="0.25">
      <c r="F76" s="48" t="s">
        <v>218</v>
      </c>
      <c r="G76" s="48"/>
      <c r="H76" s="48"/>
    </row>
  </sheetData>
  <mergeCells count="3">
    <mergeCell ref="B4:J4"/>
    <mergeCell ref="F76:H76"/>
    <mergeCell ref="C3:F3"/>
  </mergeCells>
  <conditionalFormatting sqref="I5">
    <cfRule type="containsText" dxfId="0" priority="1" operator="containsText" text="100">
      <formula>NOT(ISERROR(SEARCH("100",I5)))</formula>
    </cfRule>
  </conditionalFormatting>
  <pageMargins left="0.7" right="0.7" top="0.75" bottom="0.75" header="0.3" footer="0.3"/>
  <pageSetup paperSize="9" scale="75" orientation="portrait" horizontalDpi="0" verticalDpi="0" r:id="rId1"/>
  <drawing r:id="rId2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2BA0AF-8219-4D76-958D-E0F3F06193BC}">
  <dimension ref="A1"/>
  <sheetViews>
    <sheetView topLeftCell="A16" workbookViewId="0">
      <selection activeCell="O41" sqref="O41"/>
    </sheetView>
  </sheetViews>
  <sheetFormatPr defaultRowHeight="15" x14ac:dyDescent="0.25"/>
  <sheetData/>
  <pageMargins left="0.7" right="0.7" top="0.75" bottom="0.75" header="0.3" footer="0.3"/>
  <drawing r:id="rId1"/>
  <legacyDrawing r:id="rId2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257A77-6C9A-46FF-9EB3-665A998D542F}">
  <dimension ref="B8:D19"/>
  <sheetViews>
    <sheetView workbookViewId="0">
      <selection activeCell="N19" sqref="N19"/>
    </sheetView>
  </sheetViews>
  <sheetFormatPr defaultRowHeight="15" x14ac:dyDescent="0.25"/>
  <cols>
    <col min="3" max="3" width="21.28515625" customWidth="1"/>
    <col min="4" max="4" width="19.42578125" customWidth="1"/>
  </cols>
  <sheetData>
    <row r="8" spans="2:4" ht="24.95" customHeight="1" x14ac:dyDescent="0.25">
      <c r="B8" s="44" t="s">
        <v>219</v>
      </c>
      <c r="C8" s="44" t="s">
        <v>229</v>
      </c>
      <c r="D8" s="44" t="s">
        <v>228</v>
      </c>
    </row>
    <row r="9" spans="2:4" ht="24.95" customHeight="1" x14ac:dyDescent="0.25">
      <c r="B9" s="45">
        <v>1</v>
      </c>
      <c r="C9" s="45" t="s">
        <v>220</v>
      </c>
      <c r="D9" s="45">
        <v>17</v>
      </c>
    </row>
    <row r="10" spans="2:4" ht="24.95" customHeight="1" x14ac:dyDescent="0.25">
      <c r="B10" s="45">
        <v>2</v>
      </c>
      <c r="C10" s="45" t="s">
        <v>221</v>
      </c>
      <c r="D10" s="45">
        <v>8</v>
      </c>
    </row>
    <row r="11" spans="2:4" ht="24.95" customHeight="1" x14ac:dyDescent="0.25">
      <c r="B11" s="45">
        <v>3</v>
      </c>
      <c r="C11" s="45" t="s">
        <v>222</v>
      </c>
      <c r="D11" s="45">
        <v>10</v>
      </c>
    </row>
    <row r="12" spans="2:4" ht="24.95" customHeight="1" x14ac:dyDescent="0.25">
      <c r="B12" s="45">
        <v>4</v>
      </c>
      <c r="C12" s="45" t="s">
        <v>223</v>
      </c>
      <c r="D12" s="45">
        <v>7</v>
      </c>
    </row>
    <row r="13" spans="2:4" ht="24.95" customHeight="1" x14ac:dyDescent="0.25">
      <c r="B13" s="45">
        <v>5</v>
      </c>
      <c r="C13" s="45" t="s">
        <v>224</v>
      </c>
      <c r="D13" s="45">
        <v>8</v>
      </c>
    </row>
    <row r="14" spans="2:4" ht="24.95" customHeight="1" x14ac:dyDescent="0.25">
      <c r="B14" s="45">
        <v>6</v>
      </c>
      <c r="C14" s="45" t="s">
        <v>116</v>
      </c>
      <c r="D14" s="45">
        <v>3</v>
      </c>
    </row>
    <row r="15" spans="2:4" ht="24.95" customHeight="1" x14ac:dyDescent="0.25">
      <c r="B15" s="45">
        <v>7</v>
      </c>
      <c r="C15" s="45" t="s">
        <v>225</v>
      </c>
      <c r="D15" s="45">
        <v>2</v>
      </c>
    </row>
    <row r="16" spans="2:4" ht="24.95" customHeight="1" x14ac:dyDescent="0.25">
      <c r="B16" s="45">
        <v>8</v>
      </c>
      <c r="C16" s="45" t="s">
        <v>226</v>
      </c>
      <c r="D16" s="45">
        <v>7</v>
      </c>
    </row>
    <row r="17" spans="2:4" ht="24.95" customHeight="1" x14ac:dyDescent="0.25">
      <c r="B17" s="45">
        <v>9</v>
      </c>
      <c r="C17" s="45" t="s">
        <v>131</v>
      </c>
      <c r="D17" s="45">
        <v>2</v>
      </c>
    </row>
    <row r="18" spans="2:4" ht="24.95" customHeight="1" x14ac:dyDescent="0.25">
      <c r="B18" s="45">
        <v>10</v>
      </c>
      <c r="C18" s="45" t="s">
        <v>227</v>
      </c>
      <c r="D18" s="45">
        <v>3</v>
      </c>
    </row>
    <row r="19" spans="2:4" ht="24" customHeight="1" x14ac:dyDescent="0.25">
      <c r="B19" s="49" t="s">
        <v>230</v>
      </c>
      <c r="C19" s="50"/>
      <c r="D19" s="2">
        <f>SUM(D9:D18)</f>
        <v>67</v>
      </c>
    </row>
  </sheetData>
  <mergeCells count="1">
    <mergeCell ref="B19:C1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14</vt:i4>
      </vt:variant>
    </vt:vector>
  </HeadingPairs>
  <TitlesOfParts>
    <vt:vector size="14" baseType="lpstr">
      <vt:lpstr>TOTAL</vt:lpstr>
      <vt:lpstr>LIBRARIAN</vt:lpstr>
      <vt:lpstr>PD</vt:lpstr>
      <vt:lpstr>MECH</vt:lpstr>
      <vt:lpstr>EEE</vt:lpstr>
      <vt:lpstr>CIVIL</vt:lpstr>
      <vt:lpstr>COMPUTERS</vt:lpstr>
      <vt:lpstr>ENGLISH</vt:lpstr>
      <vt:lpstr>CHEMISTRY</vt:lpstr>
      <vt:lpstr>PHYSICS</vt:lpstr>
      <vt:lpstr>MATHS</vt:lpstr>
      <vt:lpstr>S&amp;H 25-26 DR YVRR</vt:lpstr>
      <vt:lpstr>DS 25-26						</vt:lpstr>
      <vt:lpstr>consolidated list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Dr vijaya raghava</cp:lastModifiedBy>
  <cp:lastPrinted>2025-12-08T08:33:20Z</cp:lastPrinted>
  <dcterms:created xsi:type="dcterms:W3CDTF">2015-06-05T18:17:20Z</dcterms:created>
  <dcterms:modified xsi:type="dcterms:W3CDTF">2025-12-19T13:07:12Z</dcterms:modified>
</cp:coreProperties>
</file>